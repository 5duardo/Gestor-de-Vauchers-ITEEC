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B2DEBD9-CD68-4558-B2AC-7E0FF6FA69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ERO - 2026" sheetId="1" r:id="rId1"/>
    <sheet name="MARZO - 2026" sheetId="2" r:id="rId2"/>
  </sheets>
  <definedNames>
    <definedName name="_xlnm.Print_Area" localSheetId="0">'ENERO - 2026'!#REF!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J37" i="2"/>
  <c r="I37" i="2"/>
  <c r="H37" i="2"/>
  <c r="G37" i="2"/>
  <c r="F37" i="2"/>
  <c r="D37" i="2"/>
  <c r="B37" i="2"/>
  <c r="L35" i="2"/>
  <c r="E35" i="2"/>
  <c r="M35" i="2" s="1"/>
  <c r="L34" i="2"/>
  <c r="E34" i="2"/>
  <c r="L33" i="2"/>
  <c r="E33" i="2"/>
  <c r="M33" i="2" s="1"/>
  <c r="L32" i="2"/>
  <c r="E32" i="2"/>
  <c r="L31" i="2"/>
  <c r="E31" i="2"/>
  <c r="M31" i="2" s="1"/>
  <c r="L30" i="2"/>
  <c r="E30" i="2"/>
  <c r="M30" i="2" s="1"/>
  <c r="J25" i="2"/>
  <c r="I25" i="2"/>
  <c r="H25" i="2"/>
  <c r="G25" i="2"/>
  <c r="F25" i="2"/>
  <c r="D25" i="2"/>
  <c r="C25" i="2"/>
  <c r="B25" i="2"/>
  <c r="K24" i="2"/>
  <c r="E24" i="2"/>
  <c r="K23" i="2"/>
  <c r="E23" i="2"/>
  <c r="L23" i="2" s="1"/>
  <c r="K22" i="2"/>
  <c r="E22" i="2"/>
  <c r="K21" i="2"/>
  <c r="E21" i="2"/>
  <c r="L21" i="2" s="1"/>
  <c r="K20" i="2"/>
  <c r="E20" i="2"/>
  <c r="K19" i="2"/>
  <c r="E19" i="2"/>
  <c r="L19" i="2" s="1"/>
  <c r="K18" i="2"/>
  <c r="E18" i="2"/>
  <c r="K17" i="2"/>
  <c r="E17" i="2"/>
  <c r="K16" i="2"/>
  <c r="E16" i="2"/>
  <c r="K15" i="2"/>
  <c r="E15" i="2"/>
  <c r="K14" i="2"/>
  <c r="E14" i="2"/>
  <c r="K13" i="2"/>
  <c r="E13" i="2"/>
  <c r="L13" i="2" s="1"/>
  <c r="K12" i="2"/>
  <c r="E12" i="2"/>
  <c r="K11" i="2"/>
  <c r="E11" i="2"/>
  <c r="L11" i="2" s="1"/>
  <c r="K10" i="2"/>
  <c r="E10" i="2"/>
  <c r="K9" i="2"/>
  <c r="E9" i="2"/>
  <c r="L9" i="2" s="1"/>
  <c r="K8" i="2"/>
  <c r="E8" i="2"/>
  <c r="K7" i="2"/>
  <c r="E7" i="2"/>
  <c r="L7" i="2" s="1"/>
  <c r="K6" i="2"/>
  <c r="E6" i="2"/>
  <c r="K5" i="2"/>
  <c r="E5" i="2"/>
  <c r="L5" i="2" s="1"/>
  <c r="K4" i="2"/>
  <c r="E4" i="2"/>
  <c r="K3" i="2"/>
  <c r="E3" i="2"/>
  <c r="K2" i="2"/>
  <c r="E2" i="2"/>
  <c r="J24" i="1"/>
  <c r="I24" i="1"/>
  <c r="H24" i="1"/>
  <c r="G24" i="1"/>
  <c r="F24" i="1"/>
  <c r="D24" i="1"/>
  <c r="C24" i="1"/>
  <c r="B24" i="1"/>
  <c r="K23" i="1"/>
  <c r="E23" i="1"/>
  <c r="L23" i="1" s="1"/>
  <c r="K22" i="1"/>
  <c r="E22" i="1"/>
  <c r="K21" i="1"/>
  <c r="L21" i="1" s="1"/>
  <c r="E21" i="1"/>
  <c r="K20" i="1"/>
  <c r="E20" i="1"/>
  <c r="K19" i="1"/>
  <c r="E19" i="1"/>
  <c r="K18" i="1"/>
  <c r="E18" i="1"/>
  <c r="K17" i="1"/>
  <c r="E17" i="1"/>
  <c r="L17" i="1" s="1"/>
  <c r="K16" i="1"/>
  <c r="E16" i="1"/>
  <c r="K15" i="1"/>
  <c r="E15" i="1"/>
  <c r="K14" i="1"/>
  <c r="E14" i="1"/>
  <c r="K13" i="1"/>
  <c r="E13" i="1"/>
  <c r="L13" i="1" s="1"/>
  <c r="K12" i="1"/>
  <c r="E12" i="1"/>
  <c r="L12" i="1" s="1"/>
  <c r="K11" i="1"/>
  <c r="E11" i="1"/>
  <c r="K10" i="1"/>
  <c r="E10" i="1"/>
  <c r="K9" i="1"/>
  <c r="E9" i="1"/>
  <c r="K8" i="1"/>
  <c r="E8" i="1"/>
  <c r="L8" i="1" s="1"/>
  <c r="K7" i="1"/>
  <c r="E7" i="1"/>
  <c r="K6" i="1"/>
  <c r="E6" i="1"/>
  <c r="K5" i="1"/>
  <c r="E5" i="1"/>
  <c r="L5" i="1" s="1"/>
  <c r="K4" i="1"/>
  <c r="E4" i="1"/>
  <c r="K3" i="1"/>
  <c r="E3" i="1"/>
  <c r="K2" i="1"/>
  <c r="E2" i="1"/>
  <c r="L3" i="2" l="1"/>
  <c r="L15" i="2"/>
  <c r="L16" i="2"/>
  <c r="L6" i="2"/>
  <c r="L17" i="2"/>
  <c r="L22" i="2"/>
  <c r="L37" i="2"/>
  <c r="L8" i="2"/>
  <c r="E37" i="2"/>
  <c r="L12" i="2"/>
  <c r="E25" i="2"/>
  <c r="L14" i="2"/>
  <c r="L10" i="2"/>
  <c r="L18" i="2"/>
  <c r="L4" i="2"/>
  <c r="K25" i="2"/>
  <c r="L24" i="2"/>
  <c r="L20" i="2"/>
  <c r="M34" i="2"/>
  <c r="L2" i="2"/>
  <c r="M32" i="2"/>
  <c r="M37" i="2" s="1"/>
  <c r="L3" i="1"/>
  <c r="L16" i="1"/>
  <c r="L4" i="1"/>
  <c r="L9" i="1"/>
  <c r="L10" i="1"/>
  <c r="L22" i="1"/>
  <c r="L7" i="1"/>
  <c r="L20" i="1"/>
  <c r="L15" i="1"/>
  <c r="L18" i="1"/>
  <c r="L14" i="1"/>
  <c r="L19" i="1"/>
  <c r="L6" i="1"/>
  <c r="L11" i="1"/>
  <c r="E24" i="1"/>
  <c r="K24" i="1"/>
  <c r="L2" i="1"/>
  <c r="L25" i="2" l="1"/>
  <c r="L24" i="1"/>
</calcChain>
</file>

<file path=xl/sharedStrings.xml><?xml version="1.0" encoding="utf-8"?>
<sst xmlns="http://schemas.openxmlformats.org/spreadsheetml/2006/main" count="106" uniqueCount="55">
  <si>
    <t>Total</t>
  </si>
  <si>
    <t>Nombre</t>
  </si>
  <si>
    <t>Ordinario</t>
  </si>
  <si>
    <t>Otros</t>
  </si>
  <si>
    <t>I.H.S.S.</t>
  </si>
  <si>
    <t>Anticipo</t>
  </si>
  <si>
    <t>Jose Ventura Barahona P.</t>
  </si>
  <si>
    <t>Rector</t>
  </si>
  <si>
    <t>Angel Neptael Rosales</t>
  </si>
  <si>
    <t>Vigilancia</t>
  </si>
  <si>
    <t>Jose Catalino Ramos</t>
  </si>
  <si>
    <t>Emelina Canales</t>
  </si>
  <si>
    <t>Secretaria G.</t>
  </si>
  <si>
    <t xml:space="preserve"> </t>
  </si>
  <si>
    <t>Zonia Argentina Henrriquez</t>
  </si>
  <si>
    <t>Vladimir Alejandro Hernandez</t>
  </si>
  <si>
    <t>Breissi Samai Bonilla</t>
  </si>
  <si>
    <t>Cristian Manuel Cruz Lopez</t>
  </si>
  <si>
    <t>Enoc Gerardo Medina</t>
  </si>
  <si>
    <t>Luis Alfredo Matute</t>
  </si>
  <si>
    <t>Edson Bladimir Medina</t>
  </si>
  <si>
    <t>Dunia Maricela Ramirez Gomez</t>
  </si>
  <si>
    <t>Mirna Patricia Medina Lainez</t>
  </si>
  <si>
    <t>Yesi Merari Cruz Lopez</t>
  </si>
  <si>
    <t>Margareth Montes de Oca</t>
  </si>
  <si>
    <t>Karen Yadira Murillo Garcia</t>
  </si>
  <si>
    <t>Eduardo Jose Barahona</t>
  </si>
  <si>
    <t>Mantto</t>
  </si>
  <si>
    <t>Olga Lizeth Garcia Lanza</t>
  </si>
  <si>
    <t>Kimberly Solange Argandoña</t>
  </si>
  <si>
    <t>Fabiola Suyapa Martinez Funez</t>
  </si>
  <si>
    <t>Kemuel Magdiel Lopez Alvarez</t>
  </si>
  <si>
    <t>38 + 2</t>
  </si>
  <si>
    <t>De 7 a 4</t>
  </si>
  <si>
    <t>Nelson Giovany Sosa</t>
  </si>
  <si>
    <t>Jose Luis Hernandez Diaz</t>
  </si>
  <si>
    <t>Neylie Michelle Garcia Salgado</t>
  </si>
  <si>
    <t>Beiran Samir Lanza Amador</t>
  </si>
  <si>
    <t>Perla Bridgeth Maradiaga Herrera</t>
  </si>
  <si>
    <t>Kenia Lizibeth Estrada Hernandez</t>
  </si>
  <si>
    <t>Fatima Lizeth Dominguez Miranda</t>
  </si>
  <si>
    <t>PLANILLA DE SUELDOS I.T.E.E.C.   MES DE MARZO DE 2026</t>
  </si>
  <si>
    <t>Glenda Margarita Moncada</t>
  </si>
  <si>
    <t>Emelina Canales Lopez</t>
  </si>
  <si>
    <t>Jessica Emileydi Padilla</t>
  </si>
  <si>
    <t>Lesbia Janina Andino Mendoza</t>
  </si>
  <si>
    <t>Eric Rolando Banegas Diaz</t>
  </si>
  <si>
    <t>Waleska Odalys Rodriguez</t>
  </si>
  <si>
    <t>Horas adicionales</t>
  </si>
  <si>
    <t>Llegada tarde/Inasist.</t>
  </si>
  <si>
    <t>Impto Vecinal</t>
  </si>
  <si>
    <t>Otras Deduc.</t>
  </si>
  <si>
    <t>Total Deducc.</t>
  </si>
  <si>
    <t>Total a Pagar</t>
  </si>
  <si>
    <t>Hrs/clase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</si>
</sst>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0"/>
      <name val="Arial"/>
      <charset val="134"/>
    </font>
    <font>
      <b/>
      <sz val="10"/>
      <name val="Arial"/>
      <charset val="134"/>
    </font>
    <font>
      <sz val="7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b/>
      <i/>
      <sz val="10"/>
      <name val="Arial"/>
      <charset val="134"/>
    </font>
    <font>
      <b/>
      <i/>
      <sz val="9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i/>
      <sz val="9"/>
      <name val="Arial"/>
      <charset val="134"/>
    </font>
    <font>
      <b/>
      <i/>
      <sz val="8"/>
      <name val="Arial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8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0" fontId="4" fillId="0" borderId="4" xfId="0" applyFont="1" applyBorder="1"/>
    <xf numFmtId="0" fontId="3" fillId="0" borderId="5" xfId="0" applyFont="1" applyBorder="1"/>
    <xf numFmtId="2" fontId="0" fillId="0" borderId="5" xfId="0" applyNumberFormat="1" applyBorder="1"/>
    <xf numFmtId="2" fontId="5" fillId="0" borderId="5" xfId="0" applyNumberFormat="1" applyFont="1" applyBorder="1"/>
    <xf numFmtId="12" fontId="0" fillId="0" borderId="5" xfId="0" applyNumberFormat="1" applyBorder="1"/>
    <xf numFmtId="2" fontId="6" fillId="0" borderId="5" xfId="0" applyNumberFormat="1" applyFont="1" applyBorder="1"/>
    <xf numFmtId="12" fontId="3" fillId="0" borderId="5" xfId="0" applyNumberFormat="1" applyFont="1" applyBorder="1"/>
    <xf numFmtId="2" fontId="7" fillId="0" borderId="5" xfId="0" applyNumberFormat="1" applyFont="1" applyBorder="1"/>
    <xf numFmtId="12" fontId="2" fillId="0" borderId="5" xfId="0" applyNumberFormat="1" applyFont="1" applyBorder="1"/>
    <xf numFmtId="0" fontId="0" fillId="0" borderId="5" xfId="0" applyBorder="1"/>
    <xf numFmtId="164" fontId="6" fillId="0" borderId="5" xfId="1" applyFont="1" applyBorder="1" applyAlignment="1"/>
    <xf numFmtId="2" fontId="3" fillId="0" borderId="5" xfId="0" applyNumberFormat="1" applyFont="1" applyBorder="1"/>
    <xf numFmtId="2" fontId="5" fillId="0" borderId="5" xfId="2" applyNumberFormat="1" applyFont="1" applyBorder="1"/>
    <xf numFmtId="2" fontId="0" fillId="0" borderId="5" xfId="1" applyNumberFormat="1" applyFont="1" applyBorder="1"/>
    <xf numFmtId="0" fontId="5" fillId="0" borderId="5" xfId="0" applyFont="1" applyBorder="1"/>
    <xf numFmtId="0" fontId="3" fillId="0" borderId="0" xfId="0" applyFont="1"/>
    <xf numFmtId="2" fontId="2" fillId="0" borderId="5" xfId="0" applyNumberFormat="1" applyFont="1" applyBorder="1"/>
    <xf numFmtId="164" fontId="7" fillId="0" borderId="5" xfId="1" applyFont="1" applyBorder="1" applyAlignment="1"/>
    <xf numFmtId="164" fontId="9" fillId="0" borderId="5" xfId="1" applyFont="1" applyBorder="1" applyAlignment="1"/>
    <xf numFmtId="2" fontId="9" fillId="0" borderId="5" xfId="0" applyNumberFormat="1" applyFont="1" applyBorder="1"/>
    <xf numFmtId="2" fontId="10" fillId="0" borderId="5" xfId="0" applyNumberFormat="1" applyFont="1" applyBorder="1"/>
    <xf numFmtId="0" fontId="7" fillId="0" borderId="5" xfId="0" applyFont="1" applyBorder="1"/>
    <xf numFmtId="0" fontId="6" fillId="0" borderId="5" xfId="0" applyFont="1" applyBorder="1"/>
    <xf numFmtId="164" fontId="8" fillId="0" borderId="5" xfId="1" applyFont="1" applyBorder="1" applyAlignment="1"/>
    <xf numFmtId="2" fontId="8" fillId="0" borderId="5" xfId="0" applyNumberFormat="1" applyFont="1" applyBorder="1"/>
    <xf numFmtId="2" fontId="1" fillId="0" borderId="5" xfId="0" applyNumberFormat="1" applyFont="1" applyBorder="1"/>
    <xf numFmtId="0" fontId="7" fillId="0" borderId="0" xfId="0" applyFont="1"/>
    <xf numFmtId="0" fontId="4" fillId="0" borderId="1" xfId="0" applyFont="1" applyBorder="1"/>
    <xf numFmtId="0" fontId="4" fillId="0" borderId="3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4"/>
  <sheetViews>
    <sheetView zoomScale="120" zoomScaleNormal="120" workbookViewId="0">
      <selection activeCell="O7" sqref="O7"/>
    </sheetView>
  </sheetViews>
  <sheetFormatPr defaultColWidth="11" defaultRowHeight="12.75"/>
  <cols>
    <col min="1" max="1" width="30.42578125" customWidth="1"/>
    <col min="2" max="2" width="27" customWidth="1"/>
    <col min="3" max="3" width="20.42578125" customWidth="1"/>
    <col min="4" max="4" width="8" customWidth="1"/>
    <col min="5" max="5" width="11.28515625" customWidth="1"/>
    <col min="6" max="6" width="22" customWidth="1"/>
    <col min="7" max="7" width="9.140625" customWidth="1"/>
    <col min="8" max="8" width="7.85546875" customWidth="1"/>
    <col min="9" max="9" width="11.7109375" customWidth="1"/>
    <col min="10" max="10" width="7.42578125" customWidth="1"/>
    <col min="11" max="11" width="8.42578125" customWidth="1"/>
    <col min="12" max="12" width="12.42578125" customWidth="1"/>
    <col min="13" max="13" width="12.5703125" customWidth="1"/>
    <col min="14" max="14" width="8.28515625" customWidth="1"/>
    <col min="15" max="15" width="8.5703125" customWidth="1"/>
    <col min="16" max="16" width="7.42578125" customWidth="1"/>
    <col min="17" max="17" width="6.7109375" customWidth="1"/>
    <col min="18" max="18" width="21.140625" customWidth="1"/>
    <col min="19" max="29" width="8.7109375" customWidth="1"/>
    <col min="30" max="31" width="6.85546875" customWidth="1"/>
    <col min="32" max="32" width="11" style="1" customWidth="1"/>
    <col min="33" max="33" width="3.42578125" customWidth="1"/>
    <col min="34" max="34" width="20.28515625" customWidth="1"/>
    <col min="35" max="35" width="8.28515625" customWidth="1"/>
    <col min="36" max="37" width="8.42578125" customWidth="1"/>
    <col min="38" max="38" width="8.5703125" customWidth="1"/>
    <col min="39" max="40" width="8.42578125" customWidth="1"/>
    <col min="41" max="41" width="8" customWidth="1"/>
    <col min="42" max="42" width="7.7109375" customWidth="1"/>
    <col min="43" max="44" width="7.5703125" customWidth="1"/>
    <col min="45" max="45" width="7.85546875" customWidth="1"/>
    <col min="46" max="46" width="8" customWidth="1"/>
    <col min="47" max="47" width="8.28515625" customWidth="1"/>
    <col min="48" max="48" width="7.85546875" customWidth="1"/>
    <col min="49" max="49" width="10.85546875" customWidth="1"/>
  </cols>
  <sheetData>
    <row r="1" spans="1:32">
      <c r="A1" s="4" t="s">
        <v>1</v>
      </c>
      <c r="B1" s="5" t="s">
        <v>2</v>
      </c>
      <c r="C1" s="6" t="s">
        <v>48</v>
      </c>
      <c r="D1" s="7" t="s">
        <v>3</v>
      </c>
      <c r="E1" s="5" t="s">
        <v>0</v>
      </c>
      <c r="F1" s="8" t="s">
        <v>49</v>
      </c>
      <c r="G1" s="5" t="s">
        <v>4</v>
      </c>
      <c r="H1" s="5" t="s">
        <v>5</v>
      </c>
      <c r="I1" s="9" t="s">
        <v>50</v>
      </c>
      <c r="J1" s="5" t="s">
        <v>51</v>
      </c>
      <c r="K1" s="7" t="s">
        <v>52</v>
      </c>
      <c r="L1" s="5" t="s">
        <v>53</v>
      </c>
      <c r="M1" s="5" t="s">
        <v>54</v>
      </c>
      <c r="AF1"/>
    </row>
    <row r="2" spans="1:32">
      <c r="A2" s="10" t="s">
        <v>6</v>
      </c>
      <c r="B2" s="11">
        <v>60000</v>
      </c>
      <c r="C2" s="11"/>
      <c r="D2" s="12"/>
      <c r="E2" s="11">
        <f t="shared" ref="E2:E23" si="0">SUM(B2:D2)</f>
        <v>60000</v>
      </c>
      <c r="F2" s="16"/>
      <c r="G2" s="11">
        <v>297.58</v>
      </c>
      <c r="H2" s="11"/>
      <c r="I2" s="11"/>
      <c r="J2" s="11"/>
      <c r="K2" s="11">
        <f t="shared" ref="K2:K23" si="1">SUM(F2:J2)</f>
        <v>297.58</v>
      </c>
      <c r="L2" s="11">
        <f t="shared" ref="L2:L23" si="2">(E2-K2)</f>
        <v>59702.42</v>
      </c>
      <c r="M2" s="13" t="s">
        <v>7</v>
      </c>
      <c r="AF2"/>
    </row>
    <row r="3" spans="1:32">
      <c r="A3" s="10" t="s">
        <v>8</v>
      </c>
      <c r="B3" s="11">
        <v>12702.72</v>
      </c>
      <c r="C3" s="11"/>
      <c r="D3" s="14"/>
      <c r="E3" s="11">
        <f t="shared" si="0"/>
        <v>12702.72</v>
      </c>
      <c r="F3" s="28"/>
      <c r="G3" s="11">
        <v>595.16</v>
      </c>
      <c r="H3" s="11"/>
      <c r="I3" s="11">
        <v>54.35</v>
      </c>
      <c r="J3" s="11">
        <v>649.51</v>
      </c>
      <c r="K3" s="11">
        <f t="shared" si="1"/>
        <v>1299.02</v>
      </c>
      <c r="L3" s="11">
        <f t="shared" si="2"/>
        <v>11403.699999999999</v>
      </c>
      <c r="M3" s="15" t="s">
        <v>9</v>
      </c>
      <c r="AF3"/>
    </row>
    <row r="4" spans="1:32">
      <c r="A4" s="10" t="s">
        <v>10</v>
      </c>
      <c r="B4" s="11">
        <v>12702.72</v>
      </c>
      <c r="C4" s="11"/>
      <c r="D4" s="14"/>
      <c r="E4" s="11">
        <f t="shared" si="0"/>
        <v>12702.72</v>
      </c>
      <c r="F4" s="28"/>
      <c r="G4" s="11">
        <v>595.16</v>
      </c>
      <c r="H4" s="11"/>
      <c r="I4" s="11">
        <v>54.35</v>
      </c>
      <c r="J4" s="11">
        <v>649.51</v>
      </c>
      <c r="K4" s="11">
        <f t="shared" si="1"/>
        <v>1299.02</v>
      </c>
      <c r="L4" s="11">
        <f t="shared" si="2"/>
        <v>11403.699999999999</v>
      </c>
      <c r="M4" s="15" t="s">
        <v>9</v>
      </c>
      <c r="AF4"/>
    </row>
    <row r="5" spans="1:32">
      <c r="A5" s="10" t="s">
        <v>11</v>
      </c>
      <c r="B5" s="11">
        <v>40000</v>
      </c>
      <c r="C5" s="11"/>
      <c r="D5" s="12"/>
      <c r="E5" s="11">
        <f t="shared" si="0"/>
        <v>40000</v>
      </c>
      <c r="F5" s="16"/>
      <c r="G5" s="11">
        <v>297.58</v>
      </c>
      <c r="H5" s="11"/>
      <c r="I5" s="11">
        <v>6.25</v>
      </c>
      <c r="J5" s="16"/>
      <c r="K5" s="16">
        <f t="shared" si="1"/>
        <v>303.83</v>
      </c>
      <c r="L5" s="11">
        <f t="shared" si="2"/>
        <v>39696.17</v>
      </c>
      <c r="M5" s="17" t="s">
        <v>12</v>
      </c>
      <c r="AF5"/>
    </row>
    <row r="6" spans="1:32">
      <c r="A6" s="10" t="s">
        <v>14</v>
      </c>
      <c r="B6" s="11">
        <v>10282.15</v>
      </c>
      <c r="C6" s="12"/>
      <c r="D6" s="14"/>
      <c r="E6" s="11">
        <f t="shared" si="0"/>
        <v>10282.15</v>
      </c>
      <c r="F6" s="28"/>
      <c r="G6" s="11">
        <v>297.58</v>
      </c>
      <c r="H6" s="11"/>
      <c r="I6" s="11">
        <v>6.25</v>
      </c>
      <c r="J6" s="11">
        <v>303.83</v>
      </c>
      <c r="K6" s="11">
        <f t="shared" si="1"/>
        <v>607.66</v>
      </c>
      <c r="L6" s="11">
        <f t="shared" si="2"/>
        <v>9674.49</v>
      </c>
      <c r="M6" s="15">
        <v>30</v>
      </c>
      <c r="AF6"/>
    </row>
    <row r="7" spans="1:32" ht="12" customHeight="1">
      <c r="A7" s="10" t="s">
        <v>15</v>
      </c>
      <c r="B7" s="11">
        <v>10128.5</v>
      </c>
      <c r="C7" s="14"/>
      <c r="D7" s="12"/>
      <c r="E7" s="11">
        <f t="shared" si="0"/>
        <v>10128.5</v>
      </c>
      <c r="F7" s="33"/>
      <c r="G7" s="11">
        <v>297.58</v>
      </c>
      <c r="H7" s="11"/>
      <c r="I7" s="11">
        <v>6.25</v>
      </c>
      <c r="J7" s="11">
        <v>303.83</v>
      </c>
      <c r="K7" s="11">
        <f t="shared" si="1"/>
        <v>607.66</v>
      </c>
      <c r="L7" s="11">
        <f t="shared" si="2"/>
        <v>9520.84</v>
      </c>
      <c r="M7" s="15">
        <v>29</v>
      </c>
      <c r="AF7"/>
    </row>
    <row r="8" spans="1:32" ht="12" customHeight="1">
      <c r="A8" s="10" t="s">
        <v>16</v>
      </c>
      <c r="B8" s="11">
        <v>10083.4</v>
      </c>
      <c r="C8" s="14"/>
      <c r="D8" s="29"/>
      <c r="E8" s="11">
        <f t="shared" si="0"/>
        <v>10083.4</v>
      </c>
      <c r="F8" s="14"/>
      <c r="G8" s="11"/>
      <c r="H8" s="11"/>
      <c r="I8" s="11">
        <v>6.25</v>
      </c>
      <c r="J8" s="11"/>
      <c r="K8" s="11">
        <f t="shared" si="1"/>
        <v>6.25</v>
      </c>
      <c r="L8" s="11">
        <f t="shared" si="2"/>
        <v>10077.15</v>
      </c>
      <c r="M8" s="15">
        <v>30</v>
      </c>
      <c r="AF8"/>
    </row>
    <row r="9" spans="1:32" ht="12" customHeight="1">
      <c r="A9" s="10" t="s">
        <v>29</v>
      </c>
      <c r="B9" s="11">
        <v>4538.2</v>
      </c>
      <c r="C9" s="11"/>
      <c r="D9" s="12"/>
      <c r="E9" s="11">
        <f t="shared" si="0"/>
        <v>4538.2</v>
      </c>
      <c r="F9" s="32"/>
      <c r="G9" s="26">
        <v>297.58</v>
      </c>
      <c r="H9" s="11"/>
      <c r="I9" s="11"/>
      <c r="J9" s="11"/>
      <c r="K9" s="11">
        <f t="shared" si="1"/>
        <v>297.58</v>
      </c>
      <c r="L9" s="11">
        <f t="shared" si="2"/>
        <v>4240.62</v>
      </c>
      <c r="M9" s="15">
        <v>40</v>
      </c>
      <c r="AF9"/>
    </row>
    <row r="10" spans="1:32" ht="12" customHeight="1">
      <c r="A10" s="10" t="s">
        <v>28</v>
      </c>
      <c r="B10" s="11">
        <v>9029.1</v>
      </c>
      <c r="C10" s="11"/>
      <c r="D10" s="12"/>
      <c r="E10" s="11">
        <f t="shared" si="0"/>
        <v>9029.1</v>
      </c>
      <c r="F10" s="32"/>
      <c r="G10" s="19"/>
      <c r="H10" s="11"/>
      <c r="I10" s="11">
        <v>6.25</v>
      </c>
      <c r="J10" s="11"/>
      <c r="K10" s="11">
        <f t="shared" si="1"/>
        <v>6.25</v>
      </c>
      <c r="L10" s="11">
        <f t="shared" si="2"/>
        <v>9022.85</v>
      </c>
      <c r="M10" s="15">
        <v>30</v>
      </c>
      <c r="AF10"/>
    </row>
    <row r="11" spans="1:32" ht="12" customHeight="1">
      <c r="A11" s="10" t="s">
        <v>30</v>
      </c>
      <c r="B11" s="11">
        <v>11901.9</v>
      </c>
      <c r="C11" s="14"/>
      <c r="D11" s="12"/>
      <c r="E11" s="11">
        <f t="shared" si="0"/>
        <v>11901.9</v>
      </c>
      <c r="F11" s="19"/>
      <c r="G11" s="27">
        <v>297.58</v>
      </c>
      <c r="H11" s="11"/>
      <c r="I11" s="11">
        <v>6.25</v>
      </c>
      <c r="J11" s="11"/>
      <c r="K11" s="11">
        <f t="shared" si="1"/>
        <v>303.83</v>
      </c>
      <c r="L11" s="11">
        <f t="shared" si="2"/>
        <v>11598.07</v>
      </c>
      <c r="M11" s="15">
        <v>40</v>
      </c>
      <c r="AF11"/>
    </row>
    <row r="12" spans="1:32" ht="12" customHeight="1">
      <c r="A12" s="10" t="s">
        <v>31</v>
      </c>
      <c r="B12" s="11">
        <v>11345.45</v>
      </c>
      <c r="C12" s="11"/>
      <c r="D12" s="12"/>
      <c r="E12" s="11">
        <f t="shared" si="0"/>
        <v>11345.45</v>
      </c>
      <c r="F12" s="32"/>
      <c r="G12" s="27">
        <v>297.58</v>
      </c>
      <c r="H12" s="11"/>
      <c r="I12" s="11">
        <v>6.25</v>
      </c>
      <c r="J12" s="11"/>
      <c r="K12" s="11">
        <f t="shared" si="1"/>
        <v>303.83</v>
      </c>
      <c r="L12" s="11">
        <f t="shared" si="2"/>
        <v>11041.62</v>
      </c>
      <c r="M12" s="15">
        <v>40</v>
      </c>
      <c r="AF12"/>
    </row>
    <row r="13" spans="1:32" ht="12" customHeight="1">
      <c r="A13" s="10" t="s">
        <v>17</v>
      </c>
      <c r="B13" s="11"/>
      <c r="C13" s="25"/>
      <c r="D13" s="21"/>
      <c r="E13" s="11">
        <f t="shared" si="0"/>
        <v>0</v>
      </c>
      <c r="F13" s="28"/>
      <c r="G13" s="11"/>
      <c r="H13" s="11"/>
      <c r="I13" s="11"/>
      <c r="J13" s="11"/>
      <c r="K13" s="11">
        <f t="shared" si="1"/>
        <v>0</v>
      </c>
      <c r="L13" s="11">
        <f t="shared" si="2"/>
        <v>0</v>
      </c>
      <c r="M13" s="15"/>
      <c r="AF13"/>
    </row>
    <row r="14" spans="1:32" ht="12" customHeight="1">
      <c r="A14" s="10" t="s">
        <v>18</v>
      </c>
      <c r="B14" s="22">
        <v>12821.2</v>
      </c>
      <c r="C14" s="11"/>
      <c r="D14" s="23"/>
      <c r="E14" s="11">
        <f t="shared" si="0"/>
        <v>12821.2</v>
      </c>
      <c r="F14" s="33"/>
      <c r="G14" s="18"/>
      <c r="H14" s="14"/>
      <c r="I14" s="11">
        <v>6.25</v>
      </c>
      <c r="J14" s="12"/>
      <c r="K14" s="11">
        <f t="shared" si="1"/>
        <v>6.25</v>
      </c>
      <c r="L14" s="11">
        <f t="shared" si="2"/>
        <v>12814.95</v>
      </c>
      <c r="M14" s="15">
        <v>35</v>
      </c>
      <c r="AF14"/>
    </row>
    <row r="15" spans="1:32" ht="12" customHeight="1">
      <c r="A15" s="10" t="s">
        <v>19</v>
      </c>
      <c r="B15" s="11">
        <v>10180.299999999999</v>
      </c>
      <c r="C15" s="11"/>
      <c r="D15" s="12"/>
      <c r="E15" s="11">
        <f t="shared" si="0"/>
        <v>10180.299999999999</v>
      </c>
      <c r="F15" s="33"/>
      <c r="G15" s="18"/>
      <c r="H15" s="11"/>
      <c r="I15" s="11">
        <v>6.25</v>
      </c>
      <c r="J15" s="12"/>
      <c r="K15" s="11">
        <f t="shared" si="1"/>
        <v>6.25</v>
      </c>
      <c r="L15" s="11">
        <f t="shared" si="2"/>
        <v>10174.049999999999</v>
      </c>
      <c r="M15" s="15">
        <v>30</v>
      </c>
      <c r="AF15"/>
    </row>
    <row r="16" spans="1:32" ht="12" customHeight="1">
      <c r="A16" s="10" t="s">
        <v>20</v>
      </c>
      <c r="B16" s="22">
        <v>16518.900000000001</v>
      </c>
      <c r="C16" s="11"/>
      <c r="D16" s="12"/>
      <c r="E16" s="11">
        <f t="shared" si="0"/>
        <v>16518.900000000001</v>
      </c>
      <c r="F16" s="16"/>
      <c r="G16" s="18"/>
      <c r="H16" s="11"/>
      <c r="I16" s="11">
        <v>6.25</v>
      </c>
      <c r="J16" s="11"/>
      <c r="K16" s="11">
        <f t="shared" si="1"/>
        <v>6.25</v>
      </c>
      <c r="L16" s="11">
        <f t="shared" si="2"/>
        <v>16512.650000000001</v>
      </c>
      <c r="M16" s="15" t="s">
        <v>32</v>
      </c>
      <c r="AF16"/>
    </row>
    <row r="17" spans="1:32" ht="12" customHeight="1">
      <c r="A17" s="10" t="s">
        <v>21</v>
      </c>
      <c r="B17" s="11">
        <v>10231.25</v>
      </c>
      <c r="C17" s="11"/>
      <c r="D17" s="12"/>
      <c r="E17" s="11">
        <f t="shared" si="0"/>
        <v>10231.25</v>
      </c>
      <c r="F17" s="33"/>
      <c r="G17" s="18"/>
      <c r="H17" s="11"/>
      <c r="I17" s="11">
        <v>6.25</v>
      </c>
      <c r="J17" s="11"/>
      <c r="K17" s="11">
        <f t="shared" si="1"/>
        <v>6.25</v>
      </c>
      <c r="L17" s="11">
        <f t="shared" si="2"/>
        <v>10225</v>
      </c>
      <c r="M17" s="15">
        <v>30</v>
      </c>
      <c r="AF17"/>
    </row>
    <row r="18" spans="1:32" ht="12" customHeight="1">
      <c r="A18" s="10" t="s">
        <v>22</v>
      </c>
      <c r="B18" s="11">
        <v>9874.6</v>
      </c>
      <c r="C18" s="11"/>
      <c r="D18" s="29"/>
      <c r="E18" s="11">
        <f t="shared" si="0"/>
        <v>9874.6</v>
      </c>
      <c r="F18" s="33"/>
      <c r="G18" s="18"/>
      <c r="H18" s="11"/>
      <c r="I18" s="11">
        <v>6.25</v>
      </c>
      <c r="J18" s="11"/>
      <c r="K18" s="11">
        <f t="shared" si="1"/>
        <v>6.25</v>
      </c>
      <c r="L18" s="11">
        <f t="shared" si="2"/>
        <v>9868.35</v>
      </c>
      <c r="M18" s="15">
        <v>30</v>
      </c>
      <c r="AF18"/>
    </row>
    <row r="19" spans="1:32" ht="12" customHeight="1">
      <c r="A19" s="10" t="s">
        <v>23</v>
      </c>
      <c r="B19" s="11">
        <v>10230.549999999999</v>
      </c>
      <c r="C19" s="11"/>
      <c r="D19" s="31"/>
      <c r="E19" s="11">
        <f t="shared" si="0"/>
        <v>10230.549999999999</v>
      </c>
      <c r="F19" s="33"/>
      <c r="G19" s="18"/>
      <c r="H19" s="18"/>
      <c r="I19" s="11">
        <v>6.25</v>
      </c>
      <c r="J19" s="11"/>
      <c r="K19" s="11">
        <f t="shared" si="1"/>
        <v>6.25</v>
      </c>
      <c r="L19" s="11">
        <f t="shared" si="2"/>
        <v>10224.299999999999</v>
      </c>
      <c r="M19" s="15">
        <v>30</v>
      </c>
      <c r="AF19"/>
    </row>
    <row r="20" spans="1:32" ht="12" customHeight="1">
      <c r="A20" s="10" t="s">
        <v>24</v>
      </c>
      <c r="B20" s="11">
        <v>9476.1</v>
      </c>
      <c r="C20" s="11"/>
      <c r="D20" s="18"/>
      <c r="E20" s="11">
        <f t="shared" si="0"/>
        <v>9476.1</v>
      </c>
      <c r="F20" s="33"/>
      <c r="G20" s="18"/>
      <c r="H20" s="11"/>
      <c r="I20" s="11">
        <v>6.25</v>
      </c>
      <c r="J20" s="11"/>
      <c r="K20" s="11">
        <f t="shared" si="1"/>
        <v>6.25</v>
      </c>
      <c r="L20" s="11">
        <f t="shared" si="2"/>
        <v>9469.85</v>
      </c>
      <c r="M20" s="15">
        <v>30</v>
      </c>
      <c r="AF20"/>
    </row>
    <row r="21" spans="1:32" ht="12" customHeight="1">
      <c r="A21" s="10" t="s">
        <v>25</v>
      </c>
      <c r="B21" s="11">
        <v>10273.049999999999</v>
      </c>
      <c r="C21" s="11"/>
      <c r="D21" s="14"/>
      <c r="E21" s="11">
        <f t="shared" si="0"/>
        <v>10273.049999999999</v>
      </c>
      <c r="F21" s="33"/>
      <c r="G21" s="18"/>
      <c r="H21" s="11"/>
      <c r="I21" s="11">
        <v>6.25</v>
      </c>
      <c r="J21" s="11"/>
      <c r="K21" s="11">
        <f t="shared" si="1"/>
        <v>6.25</v>
      </c>
      <c r="L21" s="11">
        <f t="shared" si="2"/>
        <v>10266.799999999999</v>
      </c>
      <c r="M21" s="15">
        <v>30</v>
      </c>
      <c r="AF21"/>
    </row>
    <row r="22" spans="1:32" ht="12" customHeight="1">
      <c r="A22" s="10" t="s">
        <v>34</v>
      </c>
      <c r="B22" s="11">
        <v>10627.6</v>
      </c>
      <c r="C22" s="14"/>
      <c r="D22" s="12"/>
      <c r="E22" s="11">
        <f t="shared" si="0"/>
        <v>10627.6</v>
      </c>
      <c r="F22" s="33"/>
      <c r="G22" s="27">
        <v>297.58</v>
      </c>
      <c r="H22" s="11"/>
      <c r="I22" s="18"/>
      <c r="J22" s="27"/>
      <c r="K22" s="11">
        <f t="shared" si="1"/>
        <v>297.58</v>
      </c>
      <c r="L22" s="11">
        <f t="shared" si="2"/>
        <v>10330.02</v>
      </c>
      <c r="M22" s="15" t="s">
        <v>33</v>
      </c>
      <c r="AF22"/>
    </row>
    <row r="23" spans="1:32" ht="12" customHeight="1">
      <c r="A23" s="10" t="s">
        <v>26</v>
      </c>
      <c r="B23" s="11">
        <v>5000</v>
      </c>
      <c r="C23" s="11"/>
      <c r="D23" s="23"/>
      <c r="E23" s="11">
        <f t="shared" si="0"/>
        <v>5000</v>
      </c>
      <c r="F23" s="30"/>
      <c r="G23" s="18">
        <v>297.58</v>
      </c>
      <c r="H23" s="18"/>
      <c r="I23" s="18"/>
      <c r="J23" s="18"/>
      <c r="K23" s="11">
        <f t="shared" si="1"/>
        <v>297.58</v>
      </c>
      <c r="L23" s="11">
        <f t="shared" si="2"/>
        <v>4702.42</v>
      </c>
      <c r="M23" s="13" t="s">
        <v>27</v>
      </c>
      <c r="AF23"/>
    </row>
    <row r="24" spans="1:32" ht="12" customHeight="1">
      <c r="A24" s="10"/>
      <c r="B24" s="11">
        <f>SUM(B2:B23)</f>
        <v>297947.68999999994</v>
      </c>
      <c r="C24" s="11">
        <f>SUM(C2:C5)</f>
        <v>0</v>
      </c>
      <c r="D24" s="11">
        <f>SUM(D2:D21)</f>
        <v>0</v>
      </c>
      <c r="E24" s="11">
        <f>SUM(E2:E23)</f>
        <v>297947.68999999994</v>
      </c>
      <c r="F24" s="11">
        <f>SUM(F2:F23)</f>
        <v>0</v>
      </c>
      <c r="G24" s="11">
        <f>SUM(G2:G23)</f>
        <v>3868.5399999999995</v>
      </c>
      <c r="H24" s="11">
        <f>SUM(H2:H19)</f>
        <v>0</v>
      </c>
      <c r="I24" s="11">
        <f>SUM(I2:I23)</f>
        <v>202.45</v>
      </c>
      <c r="J24" s="16">
        <f>SUM(J2:J23)</f>
        <v>1906.6799999999998</v>
      </c>
      <c r="K24" s="16">
        <f>SUM(K2:K23)</f>
        <v>5977.6699999999992</v>
      </c>
      <c r="L24" s="20">
        <f>SUM(L2:L23)</f>
        <v>291970.01999999996</v>
      </c>
      <c r="M24" s="18"/>
      <c r="AF24"/>
    </row>
    <row r="25" spans="1:32" ht="12" customHeight="1">
      <c r="AF25"/>
    </row>
    <row r="26" spans="1:32" ht="12" customHeight="1">
      <c r="AF26"/>
    </row>
    <row r="27" spans="1:32" ht="12" customHeight="1">
      <c r="AF27"/>
    </row>
    <row r="28" spans="1:32" ht="12" customHeight="1">
      <c r="AF28"/>
    </row>
    <row r="29" spans="1:32" ht="12" customHeight="1">
      <c r="AF29"/>
    </row>
    <row r="30" spans="1:32" ht="15" customHeight="1">
      <c r="AF30"/>
    </row>
    <row r="31" spans="1:32" ht="15" customHeight="1">
      <c r="AF31"/>
    </row>
    <row r="32" spans="1:32" ht="15" customHeight="1">
      <c r="AF32"/>
    </row>
    <row r="33" spans="2:32" ht="15" customHeight="1">
      <c r="AF33"/>
    </row>
    <row r="34" spans="2:32" ht="15" customHeight="1">
      <c r="AF34"/>
    </row>
    <row r="35" spans="2:32" ht="15" customHeight="1">
      <c r="B35" s="24"/>
      <c r="AF35"/>
    </row>
    <row r="36" spans="2:32" ht="12" customHeight="1">
      <c r="AF36"/>
    </row>
    <row r="37" spans="2:32" ht="12" customHeight="1">
      <c r="AF37"/>
    </row>
    <row r="38" spans="2:32" ht="12" customHeight="1">
      <c r="AF38"/>
    </row>
    <row r="39" spans="2:32" ht="12" customHeight="1">
      <c r="AF39"/>
    </row>
    <row r="40" spans="2:32">
      <c r="AF40"/>
    </row>
    <row r="41" spans="2:32">
      <c r="AF41"/>
    </row>
    <row r="42" spans="2:32">
      <c r="AF42"/>
    </row>
    <row r="43" spans="2:32">
      <c r="AF43"/>
    </row>
    <row r="44" spans="2:32">
      <c r="AF44"/>
    </row>
    <row r="45" spans="2:32">
      <c r="AF45"/>
    </row>
    <row r="46" spans="2:32" ht="12.75" customHeight="1">
      <c r="AF46"/>
    </row>
    <row r="47" spans="2:32" ht="12.75" customHeight="1">
      <c r="AF47"/>
    </row>
    <row r="48" spans="2:32">
      <c r="AF48"/>
    </row>
    <row r="49" spans="32:32">
      <c r="AF49"/>
    </row>
    <row r="50" spans="32:32">
      <c r="AF50"/>
    </row>
    <row r="51" spans="32:32">
      <c r="AF51"/>
    </row>
    <row r="52" spans="32:32">
      <c r="AF52"/>
    </row>
    <row r="53" spans="32:32">
      <c r="AF53"/>
    </row>
    <row r="54" spans="32:32">
      <c r="AF54"/>
    </row>
    <row r="55" spans="32:32">
      <c r="AF55"/>
    </row>
    <row r="56" spans="32:32">
      <c r="AF56"/>
    </row>
    <row r="57" spans="32:32">
      <c r="AF57"/>
    </row>
    <row r="58" spans="32:32">
      <c r="AF58"/>
    </row>
    <row r="59" spans="32:32">
      <c r="AF59"/>
    </row>
    <row r="60" spans="32:32">
      <c r="AF60"/>
    </row>
    <row r="61" spans="32:32">
      <c r="AF61"/>
    </row>
    <row r="62" spans="32:32">
      <c r="AF62"/>
    </row>
    <row r="63" spans="32:32">
      <c r="AF63"/>
    </row>
    <row r="64" spans="32:32">
      <c r="AF64"/>
    </row>
    <row r="65" spans="32:32">
      <c r="AF65"/>
    </row>
    <row r="66" spans="32:32">
      <c r="AF66"/>
    </row>
    <row r="67" spans="32:32">
      <c r="AF67"/>
    </row>
    <row r="68" spans="32:32">
      <c r="AF68"/>
    </row>
    <row r="69" spans="32:32">
      <c r="AF69"/>
    </row>
    <row r="70" spans="32:32">
      <c r="AF70"/>
    </row>
    <row r="71" spans="32:32">
      <c r="AF71"/>
    </row>
    <row r="72" spans="32:32">
      <c r="AF72"/>
    </row>
    <row r="73" spans="32:32">
      <c r="AF73"/>
    </row>
    <row r="74" spans="32:32">
      <c r="AF74"/>
    </row>
    <row r="75" spans="32:32">
      <c r="AF75"/>
    </row>
    <row r="76" spans="32:32">
      <c r="AF76"/>
    </row>
    <row r="77" spans="32:32">
      <c r="AF77"/>
    </row>
    <row r="78" spans="32:32">
      <c r="AF78"/>
    </row>
    <row r="79" spans="32:32">
      <c r="AF79"/>
    </row>
    <row r="80" spans="32:32">
      <c r="AF80"/>
    </row>
    <row r="81" spans="32:32">
      <c r="AF81"/>
    </row>
    <row r="82" spans="32:32">
      <c r="AF82"/>
    </row>
    <row r="83" spans="32:32">
      <c r="AF83"/>
    </row>
    <row r="84" spans="32:32">
      <c r="AF84"/>
    </row>
    <row r="85" spans="32:32">
      <c r="AF85"/>
    </row>
    <row r="86" spans="32:32">
      <c r="AF86"/>
    </row>
    <row r="87" spans="32:32">
      <c r="AF87"/>
    </row>
    <row r="88" spans="32:32">
      <c r="AF88"/>
    </row>
    <row r="89" spans="32:32">
      <c r="AF89"/>
    </row>
    <row r="90" spans="32:32">
      <c r="AF90"/>
    </row>
    <row r="91" spans="32:32">
      <c r="AF91"/>
    </row>
    <row r="92" spans="32:32">
      <c r="AF92"/>
    </row>
    <row r="93" spans="32:32">
      <c r="AF93"/>
    </row>
    <row r="94" spans="32:32">
      <c r="AF94"/>
    </row>
    <row r="95" spans="32:32">
      <c r="AF95"/>
    </row>
    <row r="96" spans="32:32">
      <c r="AF96"/>
    </row>
    <row r="97" spans="17:32">
      <c r="AF97"/>
    </row>
    <row r="98" spans="17:32">
      <c r="AF98"/>
    </row>
    <row r="99" spans="17:32">
      <c r="AF99"/>
    </row>
    <row r="100" spans="17:32">
      <c r="AF100"/>
    </row>
    <row r="101" spans="17:32">
      <c r="AF101"/>
    </row>
    <row r="102" spans="17:32">
      <c r="AF102"/>
    </row>
    <row r="103" spans="17:32">
      <c r="AF103"/>
    </row>
    <row r="104" spans="17:32">
      <c r="AF104"/>
    </row>
    <row r="105" spans="17:32">
      <c r="AF105"/>
    </row>
    <row r="106" spans="17:32">
      <c r="AF106"/>
    </row>
    <row r="107" spans="17:32">
      <c r="AF107"/>
    </row>
    <row r="108" spans="17:32">
      <c r="Q108" s="1"/>
      <c r="AF108"/>
    </row>
    <row r="109" spans="17:32">
      <c r="Q109" s="1"/>
      <c r="AF109"/>
    </row>
    <row r="110" spans="17:32">
      <c r="Q110" s="1"/>
      <c r="AF110"/>
    </row>
    <row r="111" spans="17:32">
      <c r="Q111" s="1"/>
      <c r="AF111"/>
    </row>
    <row r="112" spans="17:32">
      <c r="Q112" s="1"/>
      <c r="AF112"/>
    </row>
    <row r="113" spans="17:32">
      <c r="Q113" s="1"/>
      <c r="AF113"/>
    </row>
    <row r="114" spans="17:32">
      <c r="Q114" s="1"/>
      <c r="AF114"/>
    </row>
    <row r="115" spans="17:32">
      <c r="Q115" s="1"/>
      <c r="AF115"/>
    </row>
    <row r="116" spans="17:32">
      <c r="Q116" s="1"/>
      <c r="AF116"/>
    </row>
    <row r="117" spans="17:32">
      <c r="Q117" s="1"/>
      <c r="AF117"/>
    </row>
    <row r="118" spans="17:32">
      <c r="Q118" s="1"/>
      <c r="AF118"/>
    </row>
    <row r="119" spans="17:32">
      <c r="Q119" s="1"/>
      <c r="AF119"/>
    </row>
    <row r="120" spans="17:32">
      <c r="Q120" s="1"/>
      <c r="AF120"/>
    </row>
    <row r="121" spans="17:32">
      <c r="Q121" s="1"/>
      <c r="AF121"/>
    </row>
    <row r="122" spans="17:32">
      <c r="Q122" s="1"/>
      <c r="AF122"/>
    </row>
    <row r="123" spans="17:32">
      <c r="Q123" s="1"/>
      <c r="AF123"/>
    </row>
    <row r="124" spans="17:32">
      <c r="Q124" s="1"/>
      <c r="AF124"/>
    </row>
    <row r="125" spans="17:32">
      <c r="Q125" s="1"/>
      <c r="AF125"/>
    </row>
    <row r="126" spans="17:32">
      <c r="Q126" s="1"/>
      <c r="AF126"/>
    </row>
    <row r="127" spans="17:32">
      <c r="Q127" s="1"/>
      <c r="AF127"/>
    </row>
    <row r="128" spans="17:32">
      <c r="Q128" s="1"/>
      <c r="AF128"/>
    </row>
    <row r="129" spans="17:32">
      <c r="Q129" s="1"/>
      <c r="AF129"/>
    </row>
    <row r="130" spans="17:32">
      <c r="Q130" s="1"/>
      <c r="AF130"/>
    </row>
    <row r="131" spans="17:32">
      <c r="Q131" s="1"/>
      <c r="AF131"/>
    </row>
    <row r="132" spans="17:32">
      <c r="Q132" s="1"/>
      <c r="AF132"/>
    </row>
    <row r="133" spans="17:32">
      <c r="Q133" s="1"/>
      <c r="AF133"/>
    </row>
    <row r="134" spans="17:32">
      <c r="Q134" s="1"/>
      <c r="AF134"/>
    </row>
    <row r="135" spans="17:32">
      <c r="Q135" s="1"/>
      <c r="AF135"/>
    </row>
    <row r="136" spans="17:32">
      <c r="Q136" s="1"/>
      <c r="AF136"/>
    </row>
    <row r="137" spans="17:32">
      <c r="Q137" s="1"/>
      <c r="AF137"/>
    </row>
    <row r="138" spans="17:32">
      <c r="Q138" s="1"/>
      <c r="AF138"/>
    </row>
    <row r="139" spans="17:32">
      <c r="Q139" s="1"/>
      <c r="AF139"/>
    </row>
    <row r="140" spans="17:32">
      <c r="Q140" s="1"/>
      <c r="AF140"/>
    </row>
    <row r="141" spans="17:32">
      <c r="Q141" s="1"/>
      <c r="AF141"/>
    </row>
    <row r="142" spans="17:32">
      <c r="Q142" s="1"/>
      <c r="AF142"/>
    </row>
    <row r="143" spans="17:32">
      <c r="Q143" s="1"/>
      <c r="AF143"/>
    </row>
    <row r="144" spans="17:32">
      <c r="Q144" s="1"/>
      <c r="AF144"/>
    </row>
    <row r="145" spans="17:32">
      <c r="Q145" s="1"/>
      <c r="AF145"/>
    </row>
    <row r="146" spans="17:32">
      <c r="Q146" s="1"/>
      <c r="AF146"/>
    </row>
    <row r="147" spans="17:32">
      <c r="Q147" s="1"/>
      <c r="AF147"/>
    </row>
    <row r="148" spans="17:32">
      <c r="Q148" s="1"/>
      <c r="AF148"/>
    </row>
    <row r="149" spans="17:32">
      <c r="Q149" s="1"/>
      <c r="AF149"/>
    </row>
    <row r="150" spans="17:32">
      <c r="Q150" s="1"/>
      <c r="AF150"/>
    </row>
    <row r="151" spans="17:32">
      <c r="Q151" s="1"/>
      <c r="AF151"/>
    </row>
    <row r="152" spans="17:32">
      <c r="Q152" s="1"/>
      <c r="AF152"/>
    </row>
    <row r="153" spans="17:32">
      <c r="Q153" s="1"/>
      <c r="AF153"/>
    </row>
    <row r="154" spans="17:32">
      <c r="Q154" s="1"/>
      <c r="AF154"/>
    </row>
    <row r="155" spans="17:32">
      <c r="Q155" s="1"/>
      <c r="AF155"/>
    </row>
    <row r="156" spans="17:32">
      <c r="Q156" s="1"/>
      <c r="AF156"/>
    </row>
    <row r="157" spans="17:32">
      <c r="Q157" s="1"/>
      <c r="AF157"/>
    </row>
    <row r="158" spans="17:32">
      <c r="Q158" s="1"/>
      <c r="AF158"/>
    </row>
    <row r="159" spans="17:32">
      <c r="Q159" s="1"/>
      <c r="AF159"/>
    </row>
    <row r="160" spans="17:32">
      <c r="Q160" s="1"/>
      <c r="AF160"/>
    </row>
    <row r="161" spans="17:32">
      <c r="Q161" s="1"/>
      <c r="AF161"/>
    </row>
    <row r="162" spans="17:32">
      <c r="Q162" s="1"/>
      <c r="AF162"/>
    </row>
    <row r="163" spans="17:32">
      <c r="Q163" s="1"/>
      <c r="AF163"/>
    </row>
    <row r="164" spans="17:32">
      <c r="Q164" s="1"/>
      <c r="AF164"/>
    </row>
    <row r="165" spans="17:32">
      <c r="Q165" s="1"/>
      <c r="AF165"/>
    </row>
    <row r="166" spans="17:32">
      <c r="Q166" s="1"/>
      <c r="AF166"/>
    </row>
    <row r="167" spans="17:32">
      <c r="Q167" s="1"/>
      <c r="AF167"/>
    </row>
    <row r="168" spans="17:32">
      <c r="Q168" s="1"/>
      <c r="AF168"/>
    </row>
    <row r="169" spans="17:32">
      <c r="Q169" s="1"/>
      <c r="AF169"/>
    </row>
    <row r="170" spans="17:32">
      <c r="Q170" s="1"/>
      <c r="AF170"/>
    </row>
    <row r="171" spans="17:32">
      <c r="Q171" s="1"/>
      <c r="AF171"/>
    </row>
    <row r="172" spans="17:32">
      <c r="Q172" s="1"/>
      <c r="AF172"/>
    </row>
    <row r="173" spans="17:32">
      <c r="Q173" s="1"/>
      <c r="AF173"/>
    </row>
    <row r="174" spans="17:32">
      <c r="Q174" s="1"/>
      <c r="AF174"/>
    </row>
    <row r="175" spans="17:32">
      <c r="Q175" s="1"/>
      <c r="AF175"/>
    </row>
    <row r="176" spans="17:32">
      <c r="Q176" s="1"/>
      <c r="AF176"/>
    </row>
    <row r="177" spans="17:32">
      <c r="Q177" s="1"/>
      <c r="AF177"/>
    </row>
    <row r="178" spans="17:32">
      <c r="Q178" s="1"/>
      <c r="AF178"/>
    </row>
    <row r="179" spans="17:32">
      <c r="Q179" s="1"/>
      <c r="AF179"/>
    </row>
    <row r="180" spans="17:32">
      <c r="Q180" s="1"/>
      <c r="AF180"/>
    </row>
    <row r="181" spans="17:32">
      <c r="Q181" s="1"/>
      <c r="AF181"/>
    </row>
    <row r="182" spans="17:32">
      <c r="Q182" s="1"/>
      <c r="AF182"/>
    </row>
    <row r="183" spans="17:32">
      <c r="Q183" s="1"/>
      <c r="AF183"/>
    </row>
    <row r="184" spans="17:32">
      <c r="Q184" s="1"/>
      <c r="AF184"/>
    </row>
    <row r="185" spans="17:32">
      <c r="Q185" s="1"/>
      <c r="AF185"/>
    </row>
    <row r="186" spans="17:32">
      <c r="Q186" s="1"/>
      <c r="AF186"/>
    </row>
    <row r="187" spans="17:32">
      <c r="Q187" s="1"/>
      <c r="AF187"/>
    </row>
    <row r="188" spans="17:32">
      <c r="Q188" s="1"/>
      <c r="AF188"/>
    </row>
    <row r="189" spans="17:32">
      <c r="Q189" s="1"/>
      <c r="AF189"/>
    </row>
    <row r="190" spans="17:32">
      <c r="Q190" s="1"/>
      <c r="AF190"/>
    </row>
    <row r="191" spans="17:32">
      <c r="Q191" s="1"/>
      <c r="AF191"/>
    </row>
    <row r="192" spans="17:32">
      <c r="Q192" s="1"/>
      <c r="AF192"/>
    </row>
    <row r="193" spans="17:32">
      <c r="Q193" s="1"/>
      <c r="AF193"/>
    </row>
    <row r="194" spans="17:32">
      <c r="Q194" s="1"/>
      <c r="AF194"/>
    </row>
    <row r="195" spans="17:32">
      <c r="Q195" s="1"/>
      <c r="AF195"/>
    </row>
    <row r="196" spans="17:32">
      <c r="Q196" s="1"/>
      <c r="AF196"/>
    </row>
    <row r="197" spans="17:32">
      <c r="Q197" s="1"/>
      <c r="AF197"/>
    </row>
    <row r="198" spans="17:32">
      <c r="Q198" s="1"/>
      <c r="AF198"/>
    </row>
    <row r="199" spans="17:32">
      <c r="Q199" s="1"/>
      <c r="AF199"/>
    </row>
    <row r="200" spans="17:32">
      <c r="Q200" s="1"/>
      <c r="AF200"/>
    </row>
    <row r="201" spans="17:32">
      <c r="Q201" s="1"/>
      <c r="AF201"/>
    </row>
    <row r="202" spans="17:32">
      <c r="Q202" s="1"/>
      <c r="AF202"/>
    </row>
    <row r="203" spans="17:32">
      <c r="Q203" s="1"/>
      <c r="AF203"/>
    </row>
    <row r="204" spans="17:32">
      <c r="Q204" s="1"/>
      <c r="AF204"/>
    </row>
    <row r="205" spans="17:32">
      <c r="Q205" s="1"/>
      <c r="AF205"/>
    </row>
    <row r="206" spans="17:32">
      <c r="Q206" s="1"/>
      <c r="AF206"/>
    </row>
    <row r="207" spans="17:32">
      <c r="Q207" s="1"/>
      <c r="AF207"/>
    </row>
    <row r="208" spans="17:32">
      <c r="Q208" s="1"/>
      <c r="AF208"/>
    </row>
    <row r="209" spans="17:32">
      <c r="Q209" s="1"/>
      <c r="AF209"/>
    </row>
    <row r="210" spans="17:32">
      <c r="Q210" s="1"/>
      <c r="AF210"/>
    </row>
    <row r="211" spans="17:32">
      <c r="Q211" s="1"/>
      <c r="AF211"/>
    </row>
    <row r="212" spans="17:32">
      <c r="Q212" s="1"/>
      <c r="AF212"/>
    </row>
    <row r="213" spans="17:32">
      <c r="Q213" s="1"/>
      <c r="AF213"/>
    </row>
    <row r="214" spans="17:32">
      <c r="Q214" s="1"/>
      <c r="AF214"/>
    </row>
    <row r="215" spans="17:32">
      <c r="Q215" s="1"/>
      <c r="AF215"/>
    </row>
    <row r="216" spans="17:32">
      <c r="Q216" s="1"/>
      <c r="AF216"/>
    </row>
    <row r="217" spans="17:32">
      <c r="Q217" s="1"/>
      <c r="AF217"/>
    </row>
    <row r="218" spans="17:32">
      <c r="Q218" s="1"/>
      <c r="AF218"/>
    </row>
    <row r="219" spans="17:32">
      <c r="Q219" s="1"/>
      <c r="AF219"/>
    </row>
    <row r="220" spans="17:32">
      <c r="Q220" s="1"/>
      <c r="AF220"/>
    </row>
    <row r="221" spans="17:32">
      <c r="Q221" s="1"/>
      <c r="AF221"/>
    </row>
    <row r="222" spans="17:32">
      <c r="Q222" s="1"/>
      <c r="AF222"/>
    </row>
    <row r="223" spans="17:32">
      <c r="Q223" s="1"/>
      <c r="AF223"/>
    </row>
    <row r="224" spans="17:32">
      <c r="Q224" s="1"/>
      <c r="AF224"/>
    </row>
    <row r="225" spans="17:32">
      <c r="Q225" s="1"/>
      <c r="AF225"/>
    </row>
    <row r="226" spans="17:32">
      <c r="Q226" s="1"/>
      <c r="AF226"/>
    </row>
    <row r="227" spans="17:32">
      <c r="Q227" s="1"/>
      <c r="AF227"/>
    </row>
    <row r="228" spans="17:32">
      <c r="Q228" s="1"/>
      <c r="AF228"/>
    </row>
    <row r="229" spans="17:32">
      <c r="Q229" s="1"/>
      <c r="AF229"/>
    </row>
    <row r="230" spans="17:32">
      <c r="Q230" s="1"/>
      <c r="AF230"/>
    </row>
    <row r="231" spans="17:32">
      <c r="Q231" s="1"/>
      <c r="AF231"/>
    </row>
    <row r="232" spans="17:32">
      <c r="Q232" s="1"/>
      <c r="AF232"/>
    </row>
    <row r="233" spans="17:32">
      <c r="Q233" s="1"/>
      <c r="AF233"/>
    </row>
    <row r="234" spans="17:32">
      <c r="Q234" s="1"/>
      <c r="AF234"/>
    </row>
    <row r="235" spans="17:32">
      <c r="Q235" s="1"/>
      <c r="AF235"/>
    </row>
    <row r="236" spans="17:32">
      <c r="Q236" s="1"/>
      <c r="AF236"/>
    </row>
    <row r="237" spans="17:32">
      <c r="Q237" s="1"/>
      <c r="AF237"/>
    </row>
    <row r="238" spans="17:32">
      <c r="Q238" s="1"/>
      <c r="AF238"/>
    </row>
    <row r="239" spans="17:32">
      <c r="Q239" s="1"/>
      <c r="AF239"/>
    </row>
    <row r="240" spans="17:32">
      <c r="Q240" s="1"/>
      <c r="AF240"/>
    </row>
    <row r="241" spans="17:32">
      <c r="Q241" s="1"/>
      <c r="AF241"/>
    </row>
    <row r="242" spans="17:32">
      <c r="Q242" s="1"/>
      <c r="AF242"/>
    </row>
    <row r="243" spans="17:32">
      <c r="Q243" s="1"/>
      <c r="AF243"/>
    </row>
    <row r="244" spans="17:32">
      <c r="Q244" s="1"/>
      <c r="AF244"/>
    </row>
    <row r="245" spans="17:32">
      <c r="Q245" s="1"/>
      <c r="AF245"/>
    </row>
    <row r="246" spans="17:32">
      <c r="Q246" s="1"/>
      <c r="AF246"/>
    </row>
    <row r="247" spans="17:32">
      <c r="Q247" s="1"/>
      <c r="AF247"/>
    </row>
    <row r="248" spans="17:32">
      <c r="Q248" s="1"/>
      <c r="AF248"/>
    </row>
    <row r="249" spans="17:32">
      <c r="Q249" s="1"/>
      <c r="AF249"/>
    </row>
    <row r="250" spans="17:32">
      <c r="Q250" s="1"/>
      <c r="AF250"/>
    </row>
    <row r="251" spans="17:32">
      <c r="Q251" s="1"/>
      <c r="AF251"/>
    </row>
    <row r="252" spans="17:32">
      <c r="Q252" s="1"/>
      <c r="AF252"/>
    </row>
    <row r="253" spans="17:32">
      <c r="Q253" s="1"/>
      <c r="AF253"/>
    </row>
    <row r="254" spans="17:32">
      <c r="Q254" s="1"/>
      <c r="AF254"/>
    </row>
    <row r="255" spans="17:32">
      <c r="Q255" s="1"/>
      <c r="AF255"/>
    </row>
    <row r="256" spans="17:32">
      <c r="Q256" s="1"/>
      <c r="AF256"/>
    </row>
    <row r="257" spans="17:32">
      <c r="Q257" s="1"/>
      <c r="AF257"/>
    </row>
    <row r="258" spans="17:32">
      <c r="Q258" s="1"/>
      <c r="AF258"/>
    </row>
    <row r="259" spans="17:32">
      <c r="Q259" s="1"/>
      <c r="AF259"/>
    </row>
    <row r="260" spans="17:32">
      <c r="Q260" s="1"/>
      <c r="AF260"/>
    </row>
    <row r="261" spans="17:32">
      <c r="Q261" s="1"/>
      <c r="AF261"/>
    </row>
    <row r="262" spans="17:32">
      <c r="Q262" s="1"/>
      <c r="AF262"/>
    </row>
    <row r="263" spans="17:32">
      <c r="Q263" s="1"/>
      <c r="AF263"/>
    </row>
    <row r="264" spans="17:32">
      <c r="Q264" s="1"/>
      <c r="AF264"/>
    </row>
    <row r="265" spans="17:32">
      <c r="Q265" s="1"/>
      <c r="AF265"/>
    </row>
    <row r="266" spans="17:32">
      <c r="Q266" s="1"/>
      <c r="AF266"/>
    </row>
    <row r="267" spans="17:32">
      <c r="Q267" s="1"/>
      <c r="AF267"/>
    </row>
    <row r="268" spans="17:32">
      <c r="Q268" s="1"/>
      <c r="AF268"/>
    </row>
    <row r="269" spans="17:32">
      <c r="Q269" s="1"/>
      <c r="AF269"/>
    </row>
    <row r="270" spans="17:32">
      <c r="Q270" s="1"/>
      <c r="AF270"/>
    </row>
    <row r="271" spans="17:32">
      <c r="Q271" s="1"/>
      <c r="AF271"/>
    </row>
    <row r="272" spans="17:32">
      <c r="Q272" s="1"/>
      <c r="AF272"/>
    </row>
    <row r="273" spans="17:32">
      <c r="Q273" s="1"/>
      <c r="AF273"/>
    </row>
    <row r="274" spans="17:32">
      <c r="Q274" s="1"/>
      <c r="AF274"/>
    </row>
    <row r="275" spans="17:32">
      <c r="Q275" s="1"/>
      <c r="AF275"/>
    </row>
    <row r="276" spans="17:32">
      <c r="Q276" s="1"/>
      <c r="AF276"/>
    </row>
    <row r="277" spans="17:32">
      <c r="Q277" s="1"/>
      <c r="AF277"/>
    </row>
    <row r="278" spans="17:32">
      <c r="Q278" s="1"/>
      <c r="AF278"/>
    </row>
    <row r="279" spans="17:32">
      <c r="Q279" s="1"/>
      <c r="AF279"/>
    </row>
    <row r="280" spans="17:32">
      <c r="Q280" s="1"/>
      <c r="AF280"/>
    </row>
    <row r="281" spans="17:32">
      <c r="Q281" s="1"/>
      <c r="AF281"/>
    </row>
    <row r="282" spans="17:32">
      <c r="Q282" s="1"/>
      <c r="AF282"/>
    </row>
    <row r="283" spans="17:32">
      <c r="Q283" s="1"/>
      <c r="AF283"/>
    </row>
    <row r="284" spans="17:32">
      <c r="Q284" s="1"/>
      <c r="AF284"/>
    </row>
    <row r="285" spans="17:32">
      <c r="Q285" s="1"/>
      <c r="AF285"/>
    </row>
    <row r="286" spans="17:32">
      <c r="Q286" s="1"/>
      <c r="AF286"/>
    </row>
    <row r="287" spans="17:32">
      <c r="Q287" s="1"/>
      <c r="AF287"/>
    </row>
    <row r="288" spans="17:32">
      <c r="Q288" s="1"/>
      <c r="AF288"/>
    </row>
    <row r="289" spans="17:32">
      <c r="Q289" s="1"/>
      <c r="AF289"/>
    </row>
    <row r="290" spans="17:32">
      <c r="Q290" s="1"/>
      <c r="AF290"/>
    </row>
    <row r="291" spans="17:32">
      <c r="Q291" s="1"/>
      <c r="AF291"/>
    </row>
    <row r="292" spans="17:32">
      <c r="Q292" s="1"/>
      <c r="AF292"/>
    </row>
    <row r="293" spans="17:32">
      <c r="Q293" s="1"/>
      <c r="AF293"/>
    </row>
    <row r="294" spans="17:32">
      <c r="Q294" s="1"/>
      <c r="AF294"/>
    </row>
    <row r="295" spans="17:32">
      <c r="Q295" s="1"/>
      <c r="AF295"/>
    </row>
    <row r="296" spans="17:32">
      <c r="Q296" s="1"/>
      <c r="AF296"/>
    </row>
    <row r="297" spans="17:32">
      <c r="Q297" s="1"/>
      <c r="AF297"/>
    </row>
    <row r="298" spans="17:32">
      <c r="Q298" s="1"/>
      <c r="AF298"/>
    </row>
    <row r="299" spans="17:32">
      <c r="Q299" s="1"/>
      <c r="AF299"/>
    </row>
    <row r="300" spans="17:32">
      <c r="Q300" s="1"/>
      <c r="AF300"/>
    </row>
    <row r="301" spans="17:32">
      <c r="Q301" s="1"/>
      <c r="AF301"/>
    </row>
    <row r="302" spans="17:32">
      <c r="Q302" s="1"/>
      <c r="AF302"/>
    </row>
    <row r="303" spans="17:32">
      <c r="Q303" s="1"/>
      <c r="AF303"/>
    </row>
    <row r="304" spans="17:32">
      <c r="Q304" s="1"/>
      <c r="AF304"/>
    </row>
    <row r="305" spans="17:32">
      <c r="Q305" s="1"/>
      <c r="AF305"/>
    </row>
    <row r="306" spans="17:32">
      <c r="Q306" s="1"/>
      <c r="AF306"/>
    </row>
    <row r="307" spans="17:32">
      <c r="Q307" s="1"/>
      <c r="AF307"/>
    </row>
    <row r="308" spans="17:32">
      <c r="Q308" s="1"/>
      <c r="AF308"/>
    </row>
    <row r="309" spans="17:32">
      <c r="Q309" s="1"/>
      <c r="AF309"/>
    </row>
    <row r="310" spans="17:32">
      <c r="Q310" s="1"/>
      <c r="AF310"/>
    </row>
    <row r="311" spans="17:32">
      <c r="Q311" s="1"/>
      <c r="AF311"/>
    </row>
    <row r="312" spans="17:32">
      <c r="Q312" s="1"/>
      <c r="AF312"/>
    </row>
    <row r="313" spans="17:32">
      <c r="Q313" s="1"/>
      <c r="AF313"/>
    </row>
    <row r="314" spans="17:32">
      <c r="Q314" s="1"/>
      <c r="AF314"/>
    </row>
    <row r="315" spans="17:32">
      <c r="Q315" s="1"/>
      <c r="AF315"/>
    </row>
    <row r="316" spans="17:32">
      <c r="Q316" s="1"/>
      <c r="AF316"/>
    </row>
    <row r="317" spans="17:32">
      <c r="Q317" s="1"/>
      <c r="AF317"/>
    </row>
    <row r="318" spans="17:32">
      <c r="Q318" s="1"/>
      <c r="AF318"/>
    </row>
    <row r="319" spans="17:32">
      <c r="Q319" s="1"/>
      <c r="AF319"/>
    </row>
    <row r="320" spans="17:32">
      <c r="Q320" s="1"/>
      <c r="AF320"/>
    </row>
    <row r="321" spans="17:32">
      <c r="Q321" s="1"/>
      <c r="AF321"/>
    </row>
    <row r="322" spans="17:32">
      <c r="Q322" s="1"/>
      <c r="AF322"/>
    </row>
    <row r="323" spans="17:32">
      <c r="Q323" s="1"/>
      <c r="AF323"/>
    </row>
    <row r="324" spans="17:32">
      <c r="Q324" s="1"/>
      <c r="AF324"/>
    </row>
    <row r="325" spans="17:32">
      <c r="Q325" s="1"/>
      <c r="AF325"/>
    </row>
    <row r="326" spans="17:32">
      <c r="Q326" s="1"/>
      <c r="AF326"/>
    </row>
    <row r="327" spans="17:32">
      <c r="Q327" s="1"/>
      <c r="AF327"/>
    </row>
    <row r="328" spans="17:32">
      <c r="Q328" s="1"/>
      <c r="AF328"/>
    </row>
    <row r="329" spans="17:32">
      <c r="Q329" s="1"/>
      <c r="AF329"/>
    </row>
    <row r="330" spans="17:32">
      <c r="Q330" s="1"/>
      <c r="AF330"/>
    </row>
    <row r="331" spans="17:32">
      <c r="Q331" s="1"/>
      <c r="AF331"/>
    </row>
    <row r="332" spans="17:32">
      <c r="Q332" s="1"/>
      <c r="AF332"/>
    </row>
    <row r="333" spans="17:32">
      <c r="Q333" s="1"/>
      <c r="AF333"/>
    </row>
    <row r="334" spans="17:32">
      <c r="Q334" s="1"/>
      <c r="AF334"/>
    </row>
    <row r="335" spans="17:32">
      <c r="Q335" s="1"/>
      <c r="AF335"/>
    </row>
    <row r="336" spans="17:32">
      <c r="Q336" s="1"/>
      <c r="AF336"/>
    </row>
    <row r="337" spans="17:32">
      <c r="Q337" s="1"/>
      <c r="AF337"/>
    </row>
    <row r="338" spans="17:32">
      <c r="Q338" s="1"/>
      <c r="AF338"/>
    </row>
    <row r="339" spans="17:32">
      <c r="Q339" s="1"/>
      <c r="AF339"/>
    </row>
    <row r="340" spans="17:32">
      <c r="Q340" s="1"/>
      <c r="AF340"/>
    </row>
    <row r="341" spans="17:32">
      <c r="Q341" s="1"/>
      <c r="AF341"/>
    </row>
    <row r="342" spans="17:32">
      <c r="Q342" s="1"/>
      <c r="AF342"/>
    </row>
    <row r="343" spans="17:32">
      <c r="Q343" s="1"/>
      <c r="AF343"/>
    </row>
    <row r="344" spans="17:32">
      <c r="Q344" s="1"/>
      <c r="AF344"/>
    </row>
    <row r="345" spans="17:32">
      <c r="Q345" s="1"/>
      <c r="AF345"/>
    </row>
    <row r="346" spans="17:32">
      <c r="Q346" s="1"/>
      <c r="AF346"/>
    </row>
    <row r="347" spans="17:32">
      <c r="Q347" s="1"/>
      <c r="AF347"/>
    </row>
    <row r="348" spans="17:32">
      <c r="Q348" s="1"/>
      <c r="AF348"/>
    </row>
    <row r="349" spans="17:32">
      <c r="Q349" s="1"/>
      <c r="AF349"/>
    </row>
    <row r="350" spans="17:32">
      <c r="Q350" s="1"/>
      <c r="AF350"/>
    </row>
    <row r="351" spans="17:32">
      <c r="Q351" s="1"/>
      <c r="AF351"/>
    </row>
    <row r="352" spans="17:32">
      <c r="Q352" s="1"/>
      <c r="AF352"/>
    </row>
    <row r="353" spans="17:32">
      <c r="Q353" s="1"/>
      <c r="AF353"/>
    </row>
    <row r="354" spans="17:32">
      <c r="Q354" s="1"/>
      <c r="AF354"/>
    </row>
    <row r="355" spans="17:32">
      <c r="Q355" s="1"/>
      <c r="AF355"/>
    </row>
    <row r="356" spans="17:32">
      <c r="Q356" s="1"/>
      <c r="AF356"/>
    </row>
    <row r="357" spans="17:32">
      <c r="Q357" s="1"/>
      <c r="AF357"/>
    </row>
    <row r="358" spans="17:32">
      <c r="Q358" s="1"/>
      <c r="AF358"/>
    </row>
    <row r="359" spans="17:32">
      <c r="Q359" s="1"/>
      <c r="AF359"/>
    </row>
    <row r="360" spans="17:32">
      <c r="Q360" s="1"/>
      <c r="AF360"/>
    </row>
    <row r="361" spans="17:32">
      <c r="Q361" s="1"/>
      <c r="AF361"/>
    </row>
    <row r="362" spans="17:32">
      <c r="Q362" s="1"/>
      <c r="AF362"/>
    </row>
    <row r="363" spans="17:32">
      <c r="Q363" s="1"/>
      <c r="AF363"/>
    </row>
    <row r="364" spans="17:32">
      <c r="Q364" s="1"/>
      <c r="AF364"/>
    </row>
    <row r="365" spans="17:32">
      <c r="Q365" s="1"/>
      <c r="AF365"/>
    </row>
    <row r="366" spans="17:32">
      <c r="Q366" s="1"/>
      <c r="AF366"/>
    </row>
    <row r="367" spans="17:32">
      <c r="Q367" s="1"/>
      <c r="AF367"/>
    </row>
    <row r="368" spans="17:32">
      <c r="Q368" s="1"/>
      <c r="AF368"/>
    </row>
    <row r="369" spans="17:32">
      <c r="Q369" s="1"/>
      <c r="AF369"/>
    </row>
    <row r="370" spans="17:32">
      <c r="Q370" s="1"/>
      <c r="AF370"/>
    </row>
    <row r="371" spans="17:32">
      <c r="Q371" s="1"/>
      <c r="AF371"/>
    </row>
    <row r="372" spans="17:32">
      <c r="Q372" s="1"/>
      <c r="AF372"/>
    </row>
    <row r="373" spans="17:32">
      <c r="Q373" s="1"/>
      <c r="AF373"/>
    </row>
    <row r="374" spans="17:32">
      <c r="Q374" s="1"/>
      <c r="AF374"/>
    </row>
    <row r="375" spans="17:32">
      <c r="Q375" s="1"/>
      <c r="AF375"/>
    </row>
    <row r="376" spans="17:32">
      <c r="Q376" s="1"/>
      <c r="AF376"/>
    </row>
    <row r="377" spans="17:32">
      <c r="Q377" s="1"/>
      <c r="AF377"/>
    </row>
    <row r="378" spans="17:32">
      <c r="Q378" s="1"/>
      <c r="AF378"/>
    </row>
    <row r="379" spans="17:32">
      <c r="Q379" s="1"/>
      <c r="AF379"/>
    </row>
    <row r="380" spans="17:32">
      <c r="Q380" s="1"/>
      <c r="AF380"/>
    </row>
    <row r="381" spans="17:32">
      <c r="Q381" s="1"/>
      <c r="AF381"/>
    </row>
    <row r="382" spans="17:32">
      <c r="Q382" s="1"/>
      <c r="AF382"/>
    </row>
    <row r="383" spans="17:32">
      <c r="Q383" s="1"/>
      <c r="AF383"/>
    </row>
    <row r="384" spans="17:32">
      <c r="Q384" s="1"/>
      <c r="AF384"/>
    </row>
    <row r="385" spans="17:32">
      <c r="Q385" s="1"/>
      <c r="AF385"/>
    </row>
    <row r="386" spans="17:32">
      <c r="Q386" s="1"/>
      <c r="AF386"/>
    </row>
    <row r="387" spans="17:32">
      <c r="Q387" s="1"/>
      <c r="AF387"/>
    </row>
    <row r="388" spans="17:32">
      <c r="Q388" s="1"/>
      <c r="AF388"/>
    </row>
    <row r="389" spans="17:32">
      <c r="Q389" s="1"/>
      <c r="AF389"/>
    </row>
    <row r="390" spans="17:32">
      <c r="Q390" s="1"/>
      <c r="AF390"/>
    </row>
    <row r="391" spans="17:32">
      <c r="Q391" s="1"/>
      <c r="AF391"/>
    </row>
    <row r="392" spans="17:32">
      <c r="Q392" s="1"/>
      <c r="AF392"/>
    </row>
    <row r="393" spans="17:32">
      <c r="Q393" s="1"/>
      <c r="AF393"/>
    </row>
    <row r="394" spans="17:32">
      <c r="Q394" s="1"/>
      <c r="AF394"/>
    </row>
    <row r="395" spans="17:32">
      <c r="Q395" s="1"/>
      <c r="AF395"/>
    </row>
    <row r="396" spans="17:32">
      <c r="Q396" s="1"/>
      <c r="AF396"/>
    </row>
    <row r="397" spans="17:32">
      <c r="Q397" s="1"/>
      <c r="AF397"/>
    </row>
    <row r="398" spans="17:32">
      <c r="Q398" s="1"/>
      <c r="AF398"/>
    </row>
    <row r="399" spans="17:32">
      <c r="Q399" s="1"/>
      <c r="AF399"/>
    </row>
    <row r="400" spans="17:32">
      <c r="Q400" s="1"/>
      <c r="AF400"/>
    </row>
    <row r="401" spans="17:32">
      <c r="Q401" s="1"/>
      <c r="AF401"/>
    </row>
    <row r="402" spans="17:32">
      <c r="Q402" s="1"/>
      <c r="AF402"/>
    </row>
    <row r="403" spans="17:32">
      <c r="Q403" s="1"/>
      <c r="AF403"/>
    </row>
    <row r="404" spans="17:32">
      <c r="Q404" s="1"/>
      <c r="AF404"/>
    </row>
    <row r="405" spans="17:32">
      <c r="Q405" s="1"/>
      <c r="AF405"/>
    </row>
    <row r="406" spans="17:32">
      <c r="Q406" s="1"/>
      <c r="AF406"/>
    </row>
    <row r="407" spans="17:32">
      <c r="Q407" s="1"/>
      <c r="AF407"/>
    </row>
    <row r="408" spans="17:32">
      <c r="Q408" s="1"/>
      <c r="AF408"/>
    </row>
    <row r="409" spans="17:32">
      <c r="Q409" s="1"/>
      <c r="AF409"/>
    </row>
    <row r="410" spans="17:32">
      <c r="Q410" s="1"/>
      <c r="AF410"/>
    </row>
    <row r="411" spans="17:32">
      <c r="Q411" s="1"/>
      <c r="AF411"/>
    </row>
    <row r="412" spans="17:32">
      <c r="Q412" s="1"/>
      <c r="AF412"/>
    </row>
    <row r="413" spans="17:32">
      <c r="Q413" s="1"/>
      <c r="AF413"/>
    </row>
    <row r="414" spans="17:32">
      <c r="Q414" s="1"/>
      <c r="AF414"/>
    </row>
    <row r="415" spans="17:32">
      <c r="Q415" s="1"/>
      <c r="AF415"/>
    </row>
    <row r="416" spans="17:32">
      <c r="Q416" s="1"/>
      <c r="AF416"/>
    </row>
    <row r="417" spans="17:32">
      <c r="Q417" s="1"/>
      <c r="AF417"/>
    </row>
    <row r="418" spans="17:32">
      <c r="Q418" s="1"/>
      <c r="AF418"/>
    </row>
    <row r="419" spans="17:32">
      <c r="Q419" s="1"/>
      <c r="AF419"/>
    </row>
    <row r="420" spans="17:32">
      <c r="Q420" s="1"/>
      <c r="AF420"/>
    </row>
    <row r="421" spans="17:32">
      <c r="Q421" s="1"/>
      <c r="AF421"/>
    </row>
    <row r="422" spans="17:32">
      <c r="Q422" s="1"/>
      <c r="AF422"/>
    </row>
    <row r="423" spans="17:32">
      <c r="Q423" s="1"/>
      <c r="AF423"/>
    </row>
    <row r="424" spans="17:32">
      <c r="Q424" s="1"/>
      <c r="AF424"/>
    </row>
    <row r="425" spans="17:32">
      <c r="Q425" s="1"/>
      <c r="AF425"/>
    </row>
    <row r="426" spans="17:32">
      <c r="Q426" s="1"/>
      <c r="AF426"/>
    </row>
    <row r="427" spans="17:32">
      <c r="Q427" s="1"/>
      <c r="AF427"/>
    </row>
    <row r="428" spans="17:32">
      <c r="Q428" s="1"/>
      <c r="AF428"/>
    </row>
    <row r="429" spans="17:32">
      <c r="Q429" s="1"/>
      <c r="AF429"/>
    </row>
    <row r="430" spans="17:32">
      <c r="Q430" s="1"/>
      <c r="AF430"/>
    </row>
    <row r="431" spans="17:32">
      <c r="Q431" s="1"/>
      <c r="AF431"/>
    </row>
    <row r="432" spans="17:32">
      <c r="Q432" s="1"/>
      <c r="AF432"/>
    </row>
    <row r="433" spans="17:32">
      <c r="Q433" s="1"/>
      <c r="AF433"/>
    </row>
    <row r="434" spans="17:32">
      <c r="Q434" s="1"/>
      <c r="AF434"/>
    </row>
    <row r="435" spans="17:32">
      <c r="Q435" s="1"/>
      <c r="AF435"/>
    </row>
    <row r="436" spans="17:32">
      <c r="Q436" s="1"/>
      <c r="AF436"/>
    </row>
    <row r="437" spans="17:32">
      <c r="Q437" s="1"/>
      <c r="AF437"/>
    </row>
    <row r="438" spans="17:32">
      <c r="Q438" s="1"/>
      <c r="AF438"/>
    </row>
    <row r="439" spans="17:32">
      <c r="Q439" s="1"/>
      <c r="AF439"/>
    </row>
    <row r="440" spans="17:32">
      <c r="Q440" s="1"/>
      <c r="AF440"/>
    </row>
    <row r="441" spans="17:32">
      <c r="Q441" s="1"/>
      <c r="AF441"/>
    </row>
    <row r="442" spans="17:32">
      <c r="Q442" s="1"/>
      <c r="AF442"/>
    </row>
    <row r="443" spans="17:32">
      <c r="Q443" s="1"/>
      <c r="AF443"/>
    </row>
    <row r="444" spans="17:32">
      <c r="Q444" s="1"/>
      <c r="AF444"/>
    </row>
    <row r="445" spans="17:32">
      <c r="Q445" s="1"/>
      <c r="AF445"/>
    </row>
    <row r="446" spans="17:32">
      <c r="Q446" s="1"/>
      <c r="AF446"/>
    </row>
    <row r="447" spans="17:32">
      <c r="Q447" s="1"/>
      <c r="AF447"/>
    </row>
    <row r="448" spans="17:32">
      <c r="Q448" s="1"/>
      <c r="AF448"/>
    </row>
    <row r="449" spans="17:32">
      <c r="Q449" s="1"/>
      <c r="AF449"/>
    </row>
    <row r="450" spans="17:32">
      <c r="Q450" s="1"/>
      <c r="AF450"/>
    </row>
    <row r="451" spans="17:32">
      <c r="Q451" s="1"/>
      <c r="AF451"/>
    </row>
    <row r="452" spans="17:32">
      <c r="Q452" s="1"/>
      <c r="AF452"/>
    </row>
    <row r="453" spans="17:32">
      <c r="Q453" s="1"/>
      <c r="AF453"/>
    </row>
    <row r="454" spans="17:32">
      <c r="Q454" s="1"/>
      <c r="AF454"/>
    </row>
    <row r="455" spans="17:32">
      <c r="Q455" s="1"/>
      <c r="AF455"/>
    </row>
    <row r="456" spans="17:32">
      <c r="Q456" s="1"/>
      <c r="AF456"/>
    </row>
    <row r="457" spans="17:32">
      <c r="Q457" s="1"/>
      <c r="AF457"/>
    </row>
    <row r="458" spans="17:32">
      <c r="Q458" s="1"/>
      <c r="AF458"/>
    </row>
    <row r="459" spans="17:32">
      <c r="Q459" s="1"/>
      <c r="AF459"/>
    </row>
    <row r="460" spans="17:32">
      <c r="Q460" s="1"/>
      <c r="AF460"/>
    </row>
    <row r="461" spans="17:32">
      <c r="Q461" s="1"/>
      <c r="AF461"/>
    </row>
    <row r="462" spans="17:32">
      <c r="AF462"/>
    </row>
    <row r="463" spans="17:32">
      <c r="AF463"/>
    </row>
    <row r="464" spans="17:32">
      <c r="AF464"/>
    </row>
    <row r="465" spans="32:32">
      <c r="AF465"/>
    </row>
    <row r="466" spans="32:32">
      <c r="AF466"/>
    </row>
    <row r="467" spans="32:32">
      <c r="AF467"/>
    </row>
    <row r="468" spans="32:32">
      <c r="AF468"/>
    </row>
    <row r="469" spans="32:32">
      <c r="AF469"/>
    </row>
    <row r="470" spans="32:32">
      <c r="AF470"/>
    </row>
    <row r="471" spans="32:32">
      <c r="AF471"/>
    </row>
    <row r="472" spans="32:32">
      <c r="AF472"/>
    </row>
    <row r="473" spans="32:32">
      <c r="AF473"/>
    </row>
    <row r="474" spans="32:32">
      <c r="AF474"/>
    </row>
    <row r="475" spans="32:32">
      <c r="AF475"/>
    </row>
    <row r="476" spans="32:32">
      <c r="AF476"/>
    </row>
    <row r="477" spans="32:32">
      <c r="AF477"/>
    </row>
    <row r="478" spans="32:32">
      <c r="AF478"/>
    </row>
    <row r="479" spans="32:32">
      <c r="AF479"/>
    </row>
    <row r="480" spans="32:32">
      <c r="AF480"/>
    </row>
    <row r="481" spans="17:32">
      <c r="AF481"/>
    </row>
    <row r="482" spans="17:32">
      <c r="AF482"/>
    </row>
    <row r="483" spans="17:32">
      <c r="AF483"/>
    </row>
    <row r="484" spans="17:32">
      <c r="AF484"/>
    </row>
    <row r="485" spans="17:32">
      <c r="AF485"/>
    </row>
    <row r="486" spans="17:32">
      <c r="AF486"/>
    </row>
    <row r="487" spans="17:32">
      <c r="AF487"/>
    </row>
    <row r="488" spans="17:32">
      <c r="AF488"/>
    </row>
    <row r="489" spans="17:32">
      <c r="AF489"/>
    </row>
    <row r="490" spans="17:32">
      <c r="AF490"/>
    </row>
    <row r="491" spans="17:32">
      <c r="AF491"/>
    </row>
    <row r="492" spans="17:32">
      <c r="AF492"/>
    </row>
    <row r="493" spans="17:32">
      <c r="Q493" s="1"/>
      <c r="AF493"/>
    </row>
    <row r="494" spans="17:32">
      <c r="Q494" s="1"/>
      <c r="AF494"/>
    </row>
    <row r="495" spans="17:32">
      <c r="Q495" s="1"/>
      <c r="AF495"/>
    </row>
    <row r="496" spans="17:32">
      <c r="Q496" s="1"/>
      <c r="AF496"/>
    </row>
    <row r="497" spans="17:32">
      <c r="Q497" s="1"/>
      <c r="AF497"/>
    </row>
    <row r="498" spans="17:32">
      <c r="Q498" s="1"/>
      <c r="AF498"/>
    </row>
    <row r="499" spans="17:32">
      <c r="Q499" s="1"/>
      <c r="AF499"/>
    </row>
    <row r="500" spans="17:32">
      <c r="Q500" s="1"/>
      <c r="AF500"/>
    </row>
    <row r="501" spans="17:32">
      <c r="Q501" s="1"/>
      <c r="AF501"/>
    </row>
    <row r="502" spans="17:32">
      <c r="Q502" s="1"/>
      <c r="AF502"/>
    </row>
    <row r="503" spans="17:32">
      <c r="Q503" s="1"/>
      <c r="AF503"/>
    </row>
    <row r="504" spans="17:32">
      <c r="Q504" s="1"/>
      <c r="AF504"/>
    </row>
    <row r="505" spans="17:32">
      <c r="Q505" s="1"/>
      <c r="AF505"/>
    </row>
    <row r="506" spans="17:32">
      <c r="Q506" s="1"/>
      <c r="AF506"/>
    </row>
    <row r="507" spans="17:32">
      <c r="Q507" s="1"/>
      <c r="AF507"/>
    </row>
    <row r="508" spans="17:32">
      <c r="Q508" s="1"/>
      <c r="AF508"/>
    </row>
    <row r="509" spans="17:32">
      <c r="Q509" s="1"/>
      <c r="AF509"/>
    </row>
    <row r="510" spans="17:32">
      <c r="Q510" s="1"/>
      <c r="AF510"/>
    </row>
    <row r="511" spans="17:32">
      <c r="Q511" s="1"/>
      <c r="AF511"/>
    </row>
    <row r="512" spans="17:32">
      <c r="Q512" s="1"/>
      <c r="AF512"/>
    </row>
    <row r="513" spans="17:32">
      <c r="Q513" s="1"/>
      <c r="AF513"/>
    </row>
    <row r="514" spans="17:32">
      <c r="Q514" s="1"/>
      <c r="AF514"/>
    </row>
    <row r="515" spans="17:32">
      <c r="Q515" s="1"/>
      <c r="AF515"/>
    </row>
    <row r="516" spans="17:32">
      <c r="Q516" s="1"/>
      <c r="AF516"/>
    </row>
    <row r="517" spans="17:32">
      <c r="Q517" s="1"/>
      <c r="AF517"/>
    </row>
    <row r="518" spans="17:32">
      <c r="Q518" s="1"/>
      <c r="AF518"/>
    </row>
    <row r="519" spans="17:32">
      <c r="Q519" s="1"/>
      <c r="AF519"/>
    </row>
    <row r="520" spans="17:32">
      <c r="Q520" s="1"/>
      <c r="AF520"/>
    </row>
    <row r="521" spans="17:32">
      <c r="Q521" s="1"/>
      <c r="AF521"/>
    </row>
    <row r="522" spans="17:32">
      <c r="Q522" s="1"/>
      <c r="AF522"/>
    </row>
    <row r="523" spans="17:32">
      <c r="Q523" s="1"/>
      <c r="AF523"/>
    </row>
    <row r="524" spans="17:32">
      <c r="Q524" s="1"/>
      <c r="AF524"/>
    </row>
    <row r="525" spans="17:32">
      <c r="Q525" s="1"/>
      <c r="AF525"/>
    </row>
    <row r="526" spans="17:32">
      <c r="Q526" s="1"/>
      <c r="AF526"/>
    </row>
    <row r="527" spans="17:32">
      <c r="Q527" s="1"/>
      <c r="AF527"/>
    </row>
    <row r="528" spans="17:32">
      <c r="Q528" s="1"/>
      <c r="AF528"/>
    </row>
    <row r="529" spans="17:32">
      <c r="Q529" s="1"/>
      <c r="AF529"/>
    </row>
    <row r="530" spans="17:32">
      <c r="Q530" s="1"/>
      <c r="AF530"/>
    </row>
    <row r="531" spans="17:32">
      <c r="Q531" s="1"/>
      <c r="AF531"/>
    </row>
    <row r="532" spans="17:32">
      <c r="Q532" s="1"/>
      <c r="AF532"/>
    </row>
    <row r="533" spans="17:32">
      <c r="Q533" s="1"/>
      <c r="AF533"/>
    </row>
    <row r="534" spans="17:32">
      <c r="Q534" s="1"/>
      <c r="AF534"/>
    </row>
    <row r="535" spans="17:32">
      <c r="Q535" s="1"/>
      <c r="AF535"/>
    </row>
    <row r="536" spans="17:32">
      <c r="Q536" s="1"/>
      <c r="AF536"/>
    </row>
    <row r="537" spans="17:32">
      <c r="Q537" s="1"/>
      <c r="AF537"/>
    </row>
    <row r="538" spans="17:32">
      <c r="Q538" s="1"/>
      <c r="AF538"/>
    </row>
    <row r="539" spans="17:32">
      <c r="Q539" s="1"/>
      <c r="AF539"/>
    </row>
    <row r="540" spans="17:32">
      <c r="Q540" s="1"/>
      <c r="AF540"/>
    </row>
    <row r="541" spans="17:32">
      <c r="Q541" s="1"/>
      <c r="AF541"/>
    </row>
    <row r="542" spans="17:32">
      <c r="Q542" s="1"/>
      <c r="AF542"/>
    </row>
    <row r="543" spans="17:32">
      <c r="Q543" s="1"/>
      <c r="AF543"/>
    </row>
    <row r="544" spans="17:32">
      <c r="Q544" s="1"/>
      <c r="AF544"/>
    </row>
    <row r="545" spans="17:32">
      <c r="Q545" s="1"/>
      <c r="AF545"/>
    </row>
    <row r="546" spans="17:32">
      <c r="Q546" s="1"/>
      <c r="AF546"/>
    </row>
    <row r="547" spans="17:32">
      <c r="Q547" s="1"/>
      <c r="AF547"/>
    </row>
    <row r="548" spans="17:32">
      <c r="Q548" s="1"/>
      <c r="AF548"/>
    </row>
    <row r="549" spans="17:32">
      <c r="Q549" s="1"/>
      <c r="AF549"/>
    </row>
    <row r="550" spans="17:32">
      <c r="Q550" s="1"/>
      <c r="AF550"/>
    </row>
    <row r="551" spans="17:32">
      <c r="Q551" s="1"/>
      <c r="AF551"/>
    </row>
    <row r="552" spans="17:32">
      <c r="Q552" s="1"/>
      <c r="AF552"/>
    </row>
    <row r="553" spans="17:32">
      <c r="Q553" s="1"/>
      <c r="AF553"/>
    </row>
    <row r="554" spans="17:32">
      <c r="Q554" s="1"/>
      <c r="AF554"/>
    </row>
    <row r="555" spans="17:32">
      <c r="Q555" s="1"/>
      <c r="AF555"/>
    </row>
    <row r="556" spans="17:32">
      <c r="Q556" s="1"/>
      <c r="AF556"/>
    </row>
    <row r="557" spans="17:32">
      <c r="Q557" s="1"/>
      <c r="AF557"/>
    </row>
    <row r="558" spans="17:32">
      <c r="Q558" s="1"/>
      <c r="AF558"/>
    </row>
    <row r="559" spans="17:32">
      <c r="Q559" s="1"/>
      <c r="AF559"/>
    </row>
    <row r="560" spans="17:32">
      <c r="Q560" s="1"/>
      <c r="AF560"/>
    </row>
    <row r="561" spans="17:32">
      <c r="Q561" s="1"/>
      <c r="AF561"/>
    </row>
    <row r="562" spans="17:32">
      <c r="Q562" s="1"/>
      <c r="AF562"/>
    </row>
    <row r="563" spans="17:32">
      <c r="Q563" s="1"/>
      <c r="AF563"/>
    </row>
    <row r="564" spans="17:32">
      <c r="Q564" s="1"/>
      <c r="AF564"/>
    </row>
    <row r="565" spans="17:32">
      <c r="Q565" s="1"/>
      <c r="AF565"/>
    </row>
    <row r="596" spans="19:32">
      <c r="S596" s="1"/>
      <c r="AF596"/>
    </row>
    <row r="597" spans="19:32">
      <c r="S597" s="1"/>
      <c r="AF597"/>
    </row>
    <row r="598" spans="19:32">
      <c r="S598" s="1"/>
      <c r="AF598"/>
    </row>
    <row r="599" spans="19:32">
      <c r="S599" s="1"/>
      <c r="AF599"/>
    </row>
    <row r="600" spans="19:32">
      <c r="S600" s="1"/>
      <c r="AF600"/>
    </row>
    <row r="601" spans="19:32">
      <c r="S601" s="1"/>
      <c r="AF601"/>
    </row>
    <row r="602" spans="19:32">
      <c r="S602" s="1"/>
      <c r="AF602"/>
    </row>
    <row r="603" spans="19:32">
      <c r="S603" s="1"/>
      <c r="AF603"/>
    </row>
    <row r="604" spans="19:32">
      <c r="S604" s="1"/>
      <c r="AF604"/>
    </row>
    <row r="605" spans="19:32">
      <c r="S605" s="1"/>
      <c r="AF605"/>
    </row>
    <row r="606" spans="19:32">
      <c r="S606" s="1"/>
      <c r="AF606"/>
    </row>
    <row r="607" spans="19:32">
      <c r="S607" s="1"/>
      <c r="AF607"/>
    </row>
    <row r="608" spans="19:32">
      <c r="S608" s="1"/>
      <c r="AF608"/>
    </row>
    <row r="609" spans="1:32">
      <c r="S609" s="1"/>
      <c r="AF609"/>
    </row>
    <row r="610" spans="1:32">
      <c r="S610" s="1"/>
      <c r="AF610"/>
    </row>
    <row r="611" spans="1:32">
      <c r="S611" s="1"/>
      <c r="AF611"/>
    </row>
    <row r="612" spans="1:32">
      <c r="S612" s="1"/>
      <c r="AF612"/>
    </row>
    <row r="613" spans="1:32">
      <c r="A613" t="s">
        <v>13</v>
      </c>
      <c r="S613" s="1"/>
      <c r="AF613"/>
    </row>
    <row r="614" spans="1:32">
      <c r="S614" s="1"/>
      <c r="AF614"/>
    </row>
    <row r="615" spans="1:32">
      <c r="S615" s="1"/>
      <c r="AF615"/>
    </row>
    <row r="616" spans="1:32">
      <c r="S616" s="1"/>
      <c r="AF616"/>
    </row>
    <row r="617" spans="1:32">
      <c r="S617" s="1"/>
      <c r="AF617"/>
    </row>
    <row r="618" spans="1:32">
      <c r="S618" s="1"/>
      <c r="AF618"/>
    </row>
    <row r="619" spans="1:32">
      <c r="S619" s="1"/>
      <c r="AF619"/>
    </row>
    <row r="620" spans="1:32">
      <c r="S620" s="1"/>
      <c r="AF620"/>
    </row>
    <row r="621" spans="1:32">
      <c r="S621" s="1"/>
      <c r="AF621"/>
    </row>
    <row r="622" spans="1:32">
      <c r="S622" s="1"/>
      <c r="AF622"/>
    </row>
    <row r="623" spans="1:32">
      <c r="S623" s="1"/>
      <c r="AF623"/>
    </row>
    <row r="624" spans="1:32">
      <c r="S624" s="1"/>
      <c r="AF624"/>
    </row>
    <row r="625" spans="19:32">
      <c r="S625" s="1"/>
      <c r="AF625"/>
    </row>
    <row r="626" spans="19:32">
      <c r="S626" s="1"/>
      <c r="AF626"/>
    </row>
    <row r="627" spans="19:32">
      <c r="S627" s="1"/>
      <c r="AF627"/>
    </row>
    <row r="628" spans="19:32">
      <c r="S628" s="1"/>
      <c r="AF628"/>
    </row>
    <row r="629" spans="19:32">
      <c r="S629" s="1"/>
      <c r="AF629"/>
    </row>
    <row r="630" spans="19:32">
      <c r="S630" s="1"/>
      <c r="AF630"/>
    </row>
    <row r="631" spans="19:32">
      <c r="S631" s="1"/>
      <c r="AF631"/>
    </row>
    <row r="632" spans="19:32">
      <c r="S632" s="1"/>
      <c r="AF632"/>
    </row>
    <row r="633" spans="19:32">
      <c r="S633" s="1"/>
      <c r="AF633"/>
    </row>
    <row r="634" spans="19:32">
      <c r="S634" s="1"/>
      <c r="AF634"/>
    </row>
    <row r="635" spans="19:32">
      <c r="S635" s="1"/>
      <c r="AF635"/>
    </row>
    <row r="636" spans="19:32">
      <c r="S636" s="1"/>
      <c r="AF636"/>
    </row>
    <row r="637" spans="19:32">
      <c r="S637" s="1"/>
      <c r="AF637"/>
    </row>
    <row r="638" spans="19:32">
      <c r="S638" s="1"/>
      <c r="AF638"/>
    </row>
    <row r="639" spans="19:32">
      <c r="S639" s="1"/>
      <c r="AF639"/>
    </row>
    <row r="640" spans="19:32">
      <c r="S640" s="1"/>
      <c r="AF640"/>
    </row>
    <row r="641" spans="19:32">
      <c r="S641" s="1"/>
      <c r="AF641"/>
    </row>
    <row r="642" spans="19:32">
      <c r="S642" s="1"/>
      <c r="AF642"/>
    </row>
    <row r="643" spans="19:32">
      <c r="S643" s="1"/>
      <c r="AF643"/>
    </row>
    <row r="644" spans="19:32">
      <c r="S644" s="1"/>
      <c r="AF644"/>
    </row>
    <row r="645" spans="19:32">
      <c r="S645" s="1"/>
      <c r="AF645"/>
    </row>
    <row r="646" spans="19:32">
      <c r="S646" s="1"/>
      <c r="AF646"/>
    </row>
    <row r="647" spans="19:32">
      <c r="S647" s="1"/>
      <c r="AF647"/>
    </row>
    <row r="648" spans="19:32">
      <c r="S648" s="1"/>
      <c r="AF648"/>
    </row>
    <row r="649" spans="19:32">
      <c r="S649" s="1"/>
      <c r="AF649"/>
    </row>
    <row r="650" spans="19:32">
      <c r="S650" s="1"/>
      <c r="AF650"/>
    </row>
    <row r="651" spans="19:32">
      <c r="S651" s="1"/>
      <c r="AF651"/>
    </row>
    <row r="652" spans="19:32">
      <c r="S652" s="1"/>
      <c r="AF652"/>
    </row>
    <row r="653" spans="19:32">
      <c r="S653" s="1"/>
      <c r="AF653"/>
    </row>
    <row r="654" spans="19:32">
      <c r="S654" s="1"/>
      <c r="AF654"/>
    </row>
    <row r="655" spans="19:32">
      <c r="S655" s="1"/>
      <c r="AF655"/>
    </row>
    <row r="656" spans="19:32">
      <c r="S656" s="1"/>
      <c r="AF656"/>
    </row>
    <row r="657" spans="1:32">
      <c r="S657" s="1"/>
      <c r="AF657"/>
    </row>
    <row r="658" spans="1:32">
      <c r="S658" s="1"/>
      <c r="AF658"/>
    </row>
    <row r="659" spans="1:32">
      <c r="S659" s="1"/>
      <c r="AF659"/>
    </row>
    <row r="660" spans="1:32">
      <c r="A660" t="s">
        <v>13</v>
      </c>
      <c r="S660" s="1"/>
      <c r="AF660"/>
    </row>
    <row r="661" spans="1:32">
      <c r="S661" s="1"/>
      <c r="AF661"/>
    </row>
    <row r="662" spans="1:32">
      <c r="S662" s="1"/>
      <c r="AF662"/>
    </row>
    <row r="663" spans="1:32">
      <c r="S663" s="1"/>
      <c r="AF663"/>
    </row>
    <row r="664" spans="1:32">
      <c r="S664" s="1"/>
      <c r="AF664"/>
    </row>
    <row r="665" spans="1:32">
      <c r="S665" s="1"/>
      <c r="AF665"/>
    </row>
    <row r="666" spans="1:32">
      <c r="S666" s="1"/>
      <c r="AF666"/>
    </row>
    <row r="667" spans="1:32">
      <c r="S667" s="1"/>
      <c r="AF667"/>
    </row>
    <row r="668" spans="1:32">
      <c r="S668" s="1"/>
      <c r="AF668"/>
    </row>
    <row r="669" spans="1:32">
      <c r="S669" s="1"/>
      <c r="AF669"/>
    </row>
    <row r="670" spans="1:32">
      <c r="S670" s="1"/>
      <c r="AF670"/>
    </row>
    <row r="671" spans="1:32">
      <c r="S671" s="1"/>
      <c r="AF671"/>
    </row>
    <row r="672" spans="1:32">
      <c r="S672" s="1"/>
      <c r="AF672"/>
    </row>
    <row r="673" spans="19:32">
      <c r="S673" s="1"/>
      <c r="AF673"/>
    </row>
    <row r="674" spans="19:32">
      <c r="S674" s="1"/>
      <c r="AF674"/>
    </row>
    <row r="675" spans="19:32">
      <c r="S675" s="1"/>
      <c r="AF675"/>
    </row>
    <row r="676" spans="19:32">
      <c r="S676" s="1"/>
      <c r="AF676"/>
    </row>
    <row r="677" spans="19:32">
      <c r="S677" s="1"/>
      <c r="AF677"/>
    </row>
    <row r="678" spans="19:32">
      <c r="S678" s="1"/>
      <c r="AF678"/>
    </row>
    <row r="679" spans="19:32">
      <c r="S679" s="1"/>
      <c r="AF679"/>
    </row>
    <row r="680" spans="19:32">
      <c r="S680" s="1"/>
      <c r="AF680"/>
    </row>
    <row r="681" spans="19:32">
      <c r="S681" s="1"/>
      <c r="AF681"/>
    </row>
    <row r="682" spans="19:32">
      <c r="S682" s="1"/>
      <c r="AF682"/>
    </row>
    <row r="683" spans="19:32">
      <c r="S683" s="1"/>
      <c r="AF683"/>
    </row>
    <row r="684" spans="19:32">
      <c r="S684" s="1"/>
      <c r="AF684"/>
    </row>
    <row r="685" spans="19:32">
      <c r="S685" s="1"/>
      <c r="AF685"/>
    </row>
    <row r="686" spans="19:32">
      <c r="S686" s="1"/>
      <c r="AF686"/>
    </row>
    <row r="687" spans="19:32">
      <c r="S687" s="1"/>
      <c r="AF687"/>
    </row>
    <row r="688" spans="19:32">
      <c r="S688" s="1"/>
      <c r="AF688"/>
    </row>
    <row r="689" spans="19:32">
      <c r="S689" s="1"/>
      <c r="AF689"/>
    </row>
    <row r="690" spans="19:32">
      <c r="S690" s="1"/>
      <c r="AF690"/>
    </row>
    <row r="691" spans="19:32">
      <c r="S691" s="1"/>
      <c r="AF691"/>
    </row>
    <row r="692" spans="19:32">
      <c r="S692" s="1"/>
      <c r="AF692"/>
    </row>
    <row r="693" spans="19:32">
      <c r="S693" s="1"/>
      <c r="AF693"/>
    </row>
    <row r="694" spans="19:32">
      <c r="S694" s="1"/>
      <c r="AF694"/>
    </row>
    <row r="695" spans="19:32">
      <c r="S695" s="1"/>
      <c r="AF695"/>
    </row>
    <row r="696" spans="19:32">
      <c r="S696" s="1"/>
      <c r="AF696"/>
    </row>
    <row r="697" spans="19:32">
      <c r="S697" s="1"/>
      <c r="AF697"/>
    </row>
    <row r="698" spans="19:32">
      <c r="S698" s="1"/>
      <c r="AF698"/>
    </row>
    <row r="699" spans="19:32">
      <c r="S699" s="1"/>
      <c r="AF699"/>
    </row>
    <row r="700" spans="19:32">
      <c r="S700" s="1"/>
      <c r="AF700"/>
    </row>
    <row r="701" spans="19:32">
      <c r="S701" s="1"/>
      <c r="AF701"/>
    </row>
    <row r="702" spans="19:32">
      <c r="S702" s="1"/>
      <c r="AF702"/>
    </row>
    <row r="703" spans="19:32">
      <c r="S703" s="1"/>
      <c r="AF703"/>
    </row>
    <row r="704" spans="19:32">
      <c r="S704" s="1"/>
      <c r="AF704"/>
    </row>
    <row r="705" spans="19:32">
      <c r="S705" s="1"/>
      <c r="AF705"/>
    </row>
    <row r="706" spans="19:32">
      <c r="S706" s="1"/>
      <c r="AF706"/>
    </row>
    <row r="707" spans="19:32">
      <c r="S707" s="1"/>
      <c r="AF707"/>
    </row>
    <row r="708" spans="19:32">
      <c r="S708" s="1"/>
      <c r="AF708"/>
    </row>
    <row r="709" spans="19:32">
      <c r="S709" s="1"/>
      <c r="AF709"/>
    </row>
    <row r="710" spans="19:32">
      <c r="S710" s="1"/>
      <c r="AF710"/>
    </row>
    <row r="711" spans="19:32">
      <c r="S711" s="1"/>
      <c r="AF711"/>
    </row>
    <row r="712" spans="19:32">
      <c r="S712" s="1"/>
      <c r="AF712"/>
    </row>
    <row r="713" spans="19:32">
      <c r="S713" s="1"/>
      <c r="AF713"/>
    </row>
    <row r="714" spans="19:32">
      <c r="S714" s="1"/>
      <c r="AF714"/>
    </row>
    <row r="715" spans="19:32">
      <c r="S715" s="1"/>
      <c r="AF715"/>
    </row>
    <row r="716" spans="19:32">
      <c r="S716" s="1"/>
      <c r="AF716"/>
    </row>
    <row r="717" spans="19:32">
      <c r="S717" s="1"/>
      <c r="AF717"/>
    </row>
    <row r="718" spans="19:32">
      <c r="S718" s="1"/>
      <c r="AF718"/>
    </row>
    <row r="719" spans="19:32">
      <c r="S719" s="1"/>
      <c r="AF719"/>
    </row>
    <row r="720" spans="19:32">
      <c r="S720" s="1"/>
      <c r="AF720"/>
    </row>
    <row r="721" spans="19:32">
      <c r="S721" s="1"/>
      <c r="AF721"/>
    </row>
    <row r="722" spans="19:32">
      <c r="S722" s="1"/>
      <c r="AF722"/>
    </row>
    <row r="723" spans="19:32">
      <c r="S723" s="1"/>
      <c r="AF723"/>
    </row>
    <row r="724" spans="19:32">
      <c r="S724" s="1"/>
      <c r="AF724"/>
    </row>
  </sheetData>
  <pageMargins left="0.70866141732283505" right="0.70866141732283505" top="0.74803149606299202" bottom="0.74803149606299202" header="0.31496062992126" footer="0.31496062992126"/>
  <pageSetup scale="85" orientation="landscape" horizontalDpi="360" verticalDpi="360"/>
  <headerFooter alignWithMargins="0"/>
  <colBreaks count="2" manualBreakCount="2">
    <brk id="34" max="291" man="1"/>
    <brk id="35" max="2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tabSelected="1" topLeftCell="A25" zoomScale="115" zoomScaleNormal="115" workbookViewId="0">
      <selection activeCell="E46" sqref="E46"/>
    </sheetView>
  </sheetViews>
  <sheetFormatPr defaultColWidth="11" defaultRowHeight="12.75"/>
  <cols>
    <col min="1" max="1" width="24.140625" customWidth="1"/>
  </cols>
  <sheetData>
    <row r="1" spans="1:13">
      <c r="A1" s="4" t="s">
        <v>1</v>
      </c>
      <c r="B1" s="5" t="s">
        <v>2</v>
      </c>
      <c r="C1" s="6" t="s">
        <v>48</v>
      </c>
      <c r="D1" s="7" t="s">
        <v>3</v>
      </c>
      <c r="E1" s="5" t="s">
        <v>0</v>
      </c>
      <c r="F1" s="8" t="s">
        <v>49</v>
      </c>
      <c r="G1" s="5" t="s">
        <v>4</v>
      </c>
      <c r="H1" s="5" t="s">
        <v>5</v>
      </c>
      <c r="I1" s="9" t="s">
        <v>50</v>
      </c>
      <c r="J1" s="5" t="s">
        <v>51</v>
      </c>
      <c r="K1" s="7" t="s">
        <v>52</v>
      </c>
      <c r="L1" s="5" t="s">
        <v>53</v>
      </c>
      <c r="M1" s="5" t="s">
        <v>54</v>
      </c>
    </row>
    <row r="2" spans="1:13">
      <c r="A2" s="10" t="s">
        <v>6</v>
      </c>
      <c r="B2" s="11">
        <v>60000</v>
      </c>
      <c r="C2" s="11"/>
      <c r="D2" s="12"/>
      <c r="E2" s="11">
        <f t="shared" ref="E2:E24" si="0">SUM(B2:D2)</f>
        <v>60000</v>
      </c>
      <c r="F2" s="16"/>
      <c r="G2" s="11">
        <v>297.58</v>
      </c>
      <c r="H2" s="11"/>
      <c r="I2" s="11">
        <v>7</v>
      </c>
      <c r="J2" s="11"/>
      <c r="K2" s="11">
        <f t="shared" ref="K2:K24" si="1">SUM(F2:J2)</f>
        <v>304.58</v>
      </c>
      <c r="L2" s="11">
        <f t="shared" ref="L2:L24" si="2">(E2-K2)</f>
        <v>59695.42</v>
      </c>
      <c r="M2" s="13" t="s">
        <v>7</v>
      </c>
    </row>
    <row r="3" spans="1:13">
      <c r="A3" s="10" t="s">
        <v>8</v>
      </c>
      <c r="B3" s="11">
        <v>12702.72</v>
      </c>
      <c r="C3" s="11"/>
      <c r="D3" s="14"/>
      <c r="E3" s="11">
        <f t="shared" si="0"/>
        <v>12702.72</v>
      </c>
      <c r="F3" s="28"/>
      <c r="G3" s="11">
        <v>595.16</v>
      </c>
      <c r="H3" s="11"/>
      <c r="I3" s="11">
        <v>62.4</v>
      </c>
      <c r="J3" s="11"/>
      <c r="K3" s="11">
        <f t="shared" si="1"/>
        <v>657.56</v>
      </c>
      <c r="L3" s="11">
        <f t="shared" si="2"/>
        <v>12045.16</v>
      </c>
      <c r="M3" s="15" t="s">
        <v>9</v>
      </c>
    </row>
    <row r="4" spans="1:13">
      <c r="A4" s="10" t="s">
        <v>10</v>
      </c>
      <c r="B4" s="11">
        <v>12702.72</v>
      </c>
      <c r="C4" s="11"/>
      <c r="D4" s="14"/>
      <c r="E4" s="11">
        <f t="shared" si="0"/>
        <v>12702.72</v>
      </c>
      <c r="F4" s="28"/>
      <c r="G4" s="11">
        <v>595.16</v>
      </c>
      <c r="H4" s="11"/>
      <c r="I4" s="11">
        <v>62.4</v>
      </c>
      <c r="J4" s="11"/>
      <c r="K4" s="11">
        <f t="shared" si="1"/>
        <v>657.56</v>
      </c>
      <c r="L4" s="11">
        <f t="shared" si="2"/>
        <v>12045.16</v>
      </c>
      <c r="M4" s="15" t="s">
        <v>9</v>
      </c>
    </row>
    <row r="5" spans="1:13">
      <c r="A5" s="10" t="s">
        <v>11</v>
      </c>
      <c r="B5" s="11">
        <v>40000</v>
      </c>
      <c r="C5" s="11"/>
      <c r="D5" s="12"/>
      <c r="E5" s="11">
        <f t="shared" si="0"/>
        <v>40000</v>
      </c>
      <c r="F5" s="16"/>
      <c r="G5" s="11">
        <v>297.58</v>
      </c>
      <c r="H5" s="11"/>
      <c r="I5" s="11">
        <v>7</v>
      </c>
      <c r="J5" s="16"/>
      <c r="K5" s="16">
        <f t="shared" si="1"/>
        <v>304.58</v>
      </c>
      <c r="L5" s="11">
        <f t="shared" si="2"/>
        <v>39695.42</v>
      </c>
      <c r="M5" s="17" t="s">
        <v>12</v>
      </c>
    </row>
    <row r="6" spans="1:13">
      <c r="A6" s="10" t="s">
        <v>14</v>
      </c>
      <c r="B6" s="11">
        <v>10400</v>
      </c>
      <c r="C6" s="12"/>
      <c r="D6" s="14"/>
      <c r="E6" s="11">
        <f t="shared" si="0"/>
        <v>10400</v>
      </c>
      <c r="F6" s="28"/>
      <c r="G6" s="11">
        <v>297.58</v>
      </c>
      <c r="H6" s="11"/>
      <c r="I6" s="11">
        <v>7</v>
      </c>
      <c r="J6" s="11"/>
      <c r="K6" s="11">
        <f t="shared" si="1"/>
        <v>304.58</v>
      </c>
      <c r="L6" s="11">
        <f t="shared" si="2"/>
        <v>10095.42</v>
      </c>
      <c r="M6" s="15">
        <v>30</v>
      </c>
    </row>
    <row r="7" spans="1:13">
      <c r="A7" s="10" t="s">
        <v>15</v>
      </c>
      <c r="B7" s="11">
        <v>10747</v>
      </c>
      <c r="C7" s="14">
        <v>534.9</v>
      </c>
      <c r="D7" s="12"/>
      <c r="E7" s="11">
        <f t="shared" si="0"/>
        <v>11281.9</v>
      </c>
      <c r="F7" s="33">
        <v>31.45</v>
      </c>
      <c r="G7" s="11">
        <v>297.58</v>
      </c>
      <c r="H7" s="11"/>
      <c r="I7" s="11">
        <v>7</v>
      </c>
      <c r="J7" s="11"/>
      <c r="K7" s="11">
        <f t="shared" si="1"/>
        <v>336.03</v>
      </c>
      <c r="L7" s="11">
        <f t="shared" si="2"/>
        <v>10945.869999999999</v>
      </c>
      <c r="M7" s="15">
        <v>29</v>
      </c>
    </row>
    <row r="8" spans="1:13">
      <c r="A8" s="10" t="s">
        <v>30</v>
      </c>
      <c r="B8" s="11">
        <v>13867</v>
      </c>
      <c r="C8" s="14">
        <v>217.9</v>
      </c>
      <c r="D8" s="29"/>
      <c r="E8" s="11">
        <f t="shared" si="0"/>
        <v>14084.9</v>
      </c>
      <c r="F8" s="14"/>
      <c r="G8" s="11">
        <v>297.58</v>
      </c>
      <c r="H8" s="11"/>
      <c r="I8" s="11">
        <v>7</v>
      </c>
      <c r="J8" s="11"/>
      <c r="K8" s="11">
        <f t="shared" si="1"/>
        <v>304.58</v>
      </c>
      <c r="L8" s="11">
        <f t="shared" si="2"/>
        <v>13780.32</v>
      </c>
      <c r="M8" s="15"/>
    </row>
    <row r="9" spans="1:13">
      <c r="A9" s="10" t="s">
        <v>29</v>
      </c>
      <c r="B9" s="11">
        <v>13867</v>
      </c>
      <c r="C9" s="14">
        <v>3268.65</v>
      </c>
      <c r="D9" s="12"/>
      <c r="E9" s="11">
        <f t="shared" si="0"/>
        <v>17135.650000000001</v>
      </c>
      <c r="F9" s="32">
        <v>18.600000000000001</v>
      </c>
      <c r="G9" s="26">
        <v>297.58</v>
      </c>
      <c r="H9" s="11"/>
      <c r="I9" s="11">
        <v>7</v>
      </c>
      <c r="J9" s="11"/>
      <c r="K9" s="11">
        <f t="shared" si="1"/>
        <v>323.18</v>
      </c>
      <c r="L9" s="11">
        <f t="shared" si="2"/>
        <v>16812.47</v>
      </c>
      <c r="M9" s="15">
        <v>40</v>
      </c>
    </row>
    <row r="10" spans="1:13">
      <c r="A10" s="10" t="s">
        <v>35</v>
      </c>
      <c r="B10" s="11">
        <v>10400</v>
      </c>
      <c r="C10" s="11"/>
      <c r="D10" s="12"/>
      <c r="E10" s="11">
        <f t="shared" si="0"/>
        <v>10400</v>
      </c>
      <c r="F10" s="19"/>
      <c r="G10" s="19"/>
      <c r="H10" s="11"/>
      <c r="I10" s="11">
        <v>7</v>
      </c>
      <c r="J10" s="11"/>
      <c r="K10" s="11">
        <f t="shared" si="1"/>
        <v>7</v>
      </c>
      <c r="L10" s="11">
        <f t="shared" si="2"/>
        <v>10393</v>
      </c>
      <c r="M10" s="15"/>
    </row>
    <row r="11" spans="1:13">
      <c r="A11" s="10" t="s">
        <v>36</v>
      </c>
      <c r="B11" s="11">
        <v>10400</v>
      </c>
      <c r="C11" s="14"/>
      <c r="D11" s="14"/>
      <c r="E11" s="11">
        <f t="shared" si="0"/>
        <v>10400</v>
      </c>
      <c r="F11" s="19">
        <v>34.67</v>
      </c>
      <c r="G11" s="27"/>
      <c r="H11" s="11"/>
      <c r="I11" s="11">
        <v>7</v>
      </c>
      <c r="J11" s="11"/>
      <c r="K11" s="11">
        <f t="shared" si="1"/>
        <v>41.67</v>
      </c>
      <c r="L11" s="11">
        <f t="shared" si="2"/>
        <v>10358.33</v>
      </c>
      <c r="M11" s="15"/>
    </row>
    <row r="12" spans="1:13">
      <c r="A12" s="10" t="s">
        <v>37</v>
      </c>
      <c r="B12" s="11">
        <v>12480</v>
      </c>
      <c r="C12" s="11"/>
      <c r="D12" s="14"/>
      <c r="E12" s="11">
        <f t="shared" si="0"/>
        <v>12480</v>
      </c>
      <c r="F12" s="32">
        <v>54.79</v>
      </c>
      <c r="G12" s="27"/>
      <c r="H12" s="11"/>
      <c r="I12" s="11">
        <v>7</v>
      </c>
      <c r="J12" s="11"/>
      <c r="K12" s="11">
        <f t="shared" si="1"/>
        <v>61.79</v>
      </c>
      <c r="L12" s="11">
        <f t="shared" si="2"/>
        <v>12418.21</v>
      </c>
      <c r="M12" s="15"/>
    </row>
    <row r="13" spans="1:13">
      <c r="A13" s="10" t="s">
        <v>38</v>
      </c>
      <c r="B13" s="11">
        <v>12480</v>
      </c>
      <c r="C13" s="25"/>
      <c r="D13" s="21"/>
      <c r="E13" s="11">
        <f t="shared" si="0"/>
        <v>12480</v>
      </c>
      <c r="F13" s="14">
        <v>35</v>
      </c>
      <c r="G13" s="11"/>
      <c r="H13" s="11"/>
      <c r="I13" s="11">
        <v>7</v>
      </c>
      <c r="J13" s="11"/>
      <c r="K13" s="11">
        <f t="shared" si="1"/>
        <v>42</v>
      </c>
      <c r="L13" s="11">
        <f t="shared" si="2"/>
        <v>12438</v>
      </c>
      <c r="M13" s="15"/>
    </row>
    <row r="14" spans="1:13">
      <c r="A14" s="10" t="s">
        <v>39</v>
      </c>
      <c r="B14" s="22">
        <v>12480</v>
      </c>
      <c r="C14" s="11"/>
      <c r="D14" s="23"/>
      <c r="E14" s="11">
        <f t="shared" si="0"/>
        <v>12480</v>
      </c>
      <c r="F14" s="14"/>
      <c r="G14" s="18"/>
      <c r="H14" s="14"/>
      <c r="I14" s="11">
        <v>7</v>
      </c>
      <c r="J14" s="12"/>
      <c r="K14" s="11">
        <f t="shared" si="1"/>
        <v>7</v>
      </c>
      <c r="L14" s="11">
        <f t="shared" si="2"/>
        <v>12473</v>
      </c>
      <c r="M14" s="15"/>
    </row>
    <row r="15" spans="1:13">
      <c r="A15" s="10" t="s">
        <v>18</v>
      </c>
      <c r="B15" s="22">
        <v>13555</v>
      </c>
      <c r="C15" s="11"/>
      <c r="D15" s="23"/>
      <c r="E15" s="11">
        <f t="shared" si="0"/>
        <v>13555</v>
      </c>
      <c r="F15" s="14">
        <v>867.15</v>
      </c>
      <c r="G15" s="18"/>
      <c r="H15" s="14"/>
      <c r="I15" s="11">
        <v>7</v>
      </c>
      <c r="J15" s="12"/>
      <c r="K15" s="11">
        <f t="shared" si="1"/>
        <v>874.15</v>
      </c>
      <c r="L15" s="11">
        <f t="shared" si="2"/>
        <v>12680.85</v>
      </c>
      <c r="M15" s="15">
        <v>35</v>
      </c>
    </row>
    <row r="16" spans="1:13">
      <c r="A16" s="10" t="s">
        <v>20</v>
      </c>
      <c r="B16" s="22">
        <v>16815</v>
      </c>
      <c r="C16" s="11"/>
      <c r="D16" s="12"/>
      <c r="E16" s="11">
        <f t="shared" si="0"/>
        <v>16815</v>
      </c>
      <c r="F16" s="28"/>
      <c r="G16" s="18"/>
      <c r="H16" s="11"/>
      <c r="I16" s="11">
        <v>7</v>
      </c>
      <c r="J16" s="11"/>
      <c r="K16" s="11">
        <f t="shared" si="1"/>
        <v>7</v>
      </c>
      <c r="L16" s="11">
        <f t="shared" si="2"/>
        <v>16808</v>
      </c>
      <c r="M16" s="15" t="s">
        <v>32</v>
      </c>
    </row>
    <row r="17" spans="1:13">
      <c r="A17" s="10" t="s">
        <v>21</v>
      </c>
      <c r="B17" s="11">
        <v>10400</v>
      </c>
      <c r="C17" s="11"/>
      <c r="D17" s="12"/>
      <c r="E17" s="11">
        <f t="shared" si="0"/>
        <v>10400</v>
      </c>
      <c r="F17" s="14"/>
      <c r="G17" s="18">
        <v>297.58</v>
      </c>
      <c r="H17" s="11"/>
      <c r="I17" s="11">
        <v>7</v>
      </c>
      <c r="J17" s="11"/>
      <c r="K17" s="11">
        <f t="shared" si="1"/>
        <v>304.58</v>
      </c>
      <c r="L17" s="11">
        <f t="shared" si="2"/>
        <v>10095.42</v>
      </c>
      <c r="M17" s="15">
        <v>30</v>
      </c>
    </row>
    <row r="18" spans="1:13">
      <c r="A18" s="10" t="s">
        <v>22</v>
      </c>
      <c r="B18" s="11">
        <v>10400</v>
      </c>
      <c r="C18" s="11"/>
      <c r="D18" s="29"/>
      <c r="E18" s="11">
        <f t="shared" si="0"/>
        <v>10400</v>
      </c>
      <c r="F18" s="14">
        <v>168.13</v>
      </c>
      <c r="G18" s="18"/>
      <c r="H18" s="11">
        <v>1000</v>
      </c>
      <c r="I18" s="11">
        <v>7</v>
      </c>
      <c r="J18" s="11"/>
      <c r="K18" s="11">
        <f t="shared" si="1"/>
        <v>1175.1300000000001</v>
      </c>
      <c r="L18" s="11">
        <f t="shared" si="2"/>
        <v>9224.869999999999</v>
      </c>
      <c r="M18" s="15">
        <v>30</v>
      </c>
    </row>
    <row r="19" spans="1:13">
      <c r="A19" s="10" t="s">
        <v>23</v>
      </c>
      <c r="B19" s="11">
        <v>10400</v>
      </c>
      <c r="C19" s="11"/>
      <c r="D19" s="31"/>
      <c r="E19" s="11">
        <f t="shared" si="0"/>
        <v>10400</v>
      </c>
      <c r="F19" s="14">
        <v>114.4</v>
      </c>
      <c r="G19" s="18">
        <v>297.58</v>
      </c>
      <c r="H19" s="18"/>
      <c r="I19" s="11">
        <v>7</v>
      </c>
      <c r="J19" s="11"/>
      <c r="K19" s="11">
        <f t="shared" si="1"/>
        <v>418.98</v>
      </c>
      <c r="L19" s="11">
        <f t="shared" si="2"/>
        <v>9981.02</v>
      </c>
      <c r="M19" s="15">
        <v>30</v>
      </c>
    </row>
    <row r="20" spans="1:13">
      <c r="A20" s="10" t="s">
        <v>24</v>
      </c>
      <c r="B20" s="11">
        <v>10400</v>
      </c>
      <c r="C20" s="11"/>
      <c r="D20" s="18"/>
      <c r="E20" s="11">
        <f t="shared" si="0"/>
        <v>10400</v>
      </c>
      <c r="F20" s="14">
        <v>8320</v>
      </c>
      <c r="G20" s="18"/>
      <c r="H20" s="11"/>
      <c r="I20" s="11">
        <v>7</v>
      </c>
      <c r="J20" s="12">
        <v>19.100000000000001</v>
      </c>
      <c r="K20" s="11">
        <f t="shared" si="1"/>
        <v>8346.1</v>
      </c>
      <c r="L20" s="11">
        <f t="shared" si="2"/>
        <v>2053.8999999999996</v>
      </c>
      <c r="M20" s="15">
        <v>30</v>
      </c>
    </row>
    <row r="21" spans="1:13">
      <c r="A21" s="10" t="s">
        <v>25</v>
      </c>
      <c r="B21" s="11">
        <v>10400</v>
      </c>
      <c r="C21" s="11"/>
      <c r="D21" s="14"/>
      <c r="E21" s="11">
        <f t="shared" si="0"/>
        <v>10400</v>
      </c>
      <c r="F21" s="14">
        <v>554.47</v>
      </c>
      <c r="G21" s="18"/>
      <c r="H21" s="11"/>
      <c r="I21" s="11">
        <v>7</v>
      </c>
      <c r="J21" s="11"/>
      <c r="K21" s="11">
        <f t="shared" si="1"/>
        <v>561.47</v>
      </c>
      <c r="L21" s="11">
        <f t="shared" si="2"/>
        <v>9838.5300000000007</v>
      </c>
      <c r="M21" s="15">
        <v>30</v>
      </c>
    </row>
    <row r="22" spans="1:13">
      <c r="A22" s="10" t="s">
        <v>40</v>
      </c>
      <c r="B22" s="11">
        <v>10400</v>
      </c>
      <c r="C22" s="14"/>
      <c r="D22" s="12"/>
      <c r="E22" s="11">
        <f t="shared" si="0"/>
        <v>10400</v>
      </c>
      <c r="F22" s="33"/>
      <c r="G22" s="27"/>
      <c r="H22" s="11"/>
      <c r="I22" s="11">
        <v>7</v>
      </c>
      <c r="J22" s="27"/>
      <c r="K22" s="11">
        <f t="shared" si="1"/>
        <v>7</v>
      </c>
      <c r="L22" s="11">
        <f t="shared" si="2"/>
        <v>10393</v>
      </c>
      <c r="M22" s="15"/>
    </row>
    <row r="23" spans="1:13">
      <c r="A23" s="10" t="s">
        <v>31</v>
      </c>
      <c r="B23" s="11">
        <v>10400</v>
      </c>
      <c r="C23" s="14"/>
      <c r="D23" s="12"/>
      <c r="E23" s="11">
        <f t="shared" si="0"/>
        <v>10400</v>
      </c>
      <c r="F23" s="33">
        <v>3120</v>
      </c>
      <c r="G23" s="27"/>
      <c r="H23" s="11"/>
      <c r="I23" s="11">
        <v>7</v>
      </c>
      <c r="J23" s="27"/>
      <c r="K23" s="11">
        <f t="shared" si="1"/>
        <v>3127</v>
      </c>
      <c r="L23" s="11">
        <f t="shared" si="2"/>
        <v>7273</v>
      </c>
      <c r="M23" s="15"/>
    </row>
    <row r="24" spans="1:13">
      <c r="A24" s="10" t="s">
        <v>26</v>
      </c>
      <c r="B24" s="11">
        <v>5000</v>
      </c>
      <c r="C24" s="11"/>
      <c r="D24" s="23"/>
      <c r="E24" s="11">
        <f t="shared" si="0"/>
        <v>5000</v>
      </c>
      <c r="F24" s="30"/>
      <c r="G24" s="18">
        <v>297.58</v>
      </c>
      <c r="H24" s="18"/>
      <c r="I24" s="11">
        <v>7</v>
      </c>
      <c r="J24" s="18"/>
      <c r="K24" s="11">
        <f t="shared" si="1"/>
        <v>304.58</v>
      </c>
      <c r="L24" s="11">
        <f t="shared" si="2"/>
        <v>4695.42</v>
      </c>
      <c r="M24" s="13" t="s">
        <v>27</v>
      </c>
    </row>
    <row r="25" spans="1:13">
      <c r="A25" s="10"/>
      <c r="B25" s="11">
        <f>SUM(B2:B24)</f>
        <v>340696.44</v>
      </c>
      <c r="C25" s="11">
        <f>SUM(C2:C5)</f>
        <v>0</v>
      </c>
      <c r="D25" s="11">
        <f>SUM(D2:D21)</f>
        <v>0</v>
      </c>
      <c r="E25" s="11">
        <f>SUM(E2:E24)</f>
        <v>344717.89</v>
      </c>
      <c r="F25" s="11">
        <f>SUM(F2:F24)</f>
        <v>13318.66</v>
      </c>
      <c r="G25" s="11">
        <f>SUM(G2:G24)</f>
        <v>3868.5399999999995</v>
      </c>
      <c r="H25" s="11">
        <f>SUM(H2:H19)</f>
        <v>1000</v>
      </c>
      <c r="I25" s="11">
        <f>SUM(I2:I24)</f>
        <v>271.8</v>
      </c>
      <c r="J25" s="16">
        <f>SUM(J2:J24)</f>
        <v>19.100000000000001</v>
      </c>
      <c r="K25" s="16">
        <f>SUM(K2:K24)</f>
        <v>18478.099999999999</v>
      </c>
      <c r="L25" s="20">
        <f>SUM(L2:L24)</f>
        <v>326239.79000000004</v>
      </c>
      <c r="M25" s="18"/>
    </row>
    <row r="27" spans="1:13">
      <c r="C27" s="2" t="s">
        <v>41</v>
      </c>
      <c r="J27" s="3"/>
      <c r="K27" s="3"/>
    </row>
    <row r="28" spans="1:13">
      <c r="A28" s="3"/>
      <c r="B28" s="3"/>
      <c r="C28" s="3"/>
      <c r="E28" s="3"/>
      <c r="F28" s="3"/>
      <c r="G28" s="3"/>
      <c r="H28" s="3"/>
      <c r="I28" s="3"/>
      <c r="J28" s="3"/>
      <c r="K28" s="3"/>
    </row>
    <row r="29" spans="1:13">
      <c r="A29" s="4" t="s">
        <v>1</v>
      </c>
      <c r="B29" s="5" t="s">
        <v>2</v>
      </c>
      <c r="C29" s="6" t="s">
        <v>48</v>
      </c>
      <c r="D29" s="7" t="s">
        <v>3</v>
      </c>
      <c r="E29" s="5" t="s">
        <v>0</v>
      </c>
      <c r="F29" s="8" t="s">
        <v>49</v>
      </c>
      <c r="G29" s="5" t="s">
        <v>4</v>
      </c>
      <c r="H29" s="5" t="s">
        <v>5</v>
      </c>
      <c r="I29" s="9" t="s">
        <v>50</v>
      </c>
      <c r="J29" s="5" t="s">
        <v>51</v>
      </c>
      <c r="K29" s="7" t="s">
        <v>52</v>
      </c>
      <c r="L29" s="5" t="s">
        <v>53</v>
      </c>
      <c r="M29" s="5" t="s">
        <v>54</v>
      </c>
    </row>
    <row r="30" spans="1:13">
      <c r="A30" s="10" t="s">
        <v>42</v>
      </c>
      <c r="B30" s="11">
        <v>9013.35</v>
      </c>
      <c r="C30" s="18"/>
      <c r="D30" s="12"/>
      <c r="E30" s="11">
        <f t="shared" ref="E30:E35" si="3">SUM(B30:D30)</f>
        <v>9013.35</v>
      </c>
      <c r="F30" s="12"/>
      <c r="G30" s="11">
        <v>297.58</v>
      </c>
      <c r="H30" s="11"/>
      <c r="I30" s="11">
        <v>7</v>
      </c>
      <c r="J30" s="11">
        <v>856.26</v>
      </c>
      <c r="K30" s="11"/>
      <c r="L30" s="11">
        <f t="shared" ref="L30:L35" si="4">SUM(F30:K30)</f>
        <v>1160.8399999999999</v>
      </c>
      <c r="M30" s="16">
        <f t="shared" ref="M30:M35" si="5">(E30-L30)</f>
        <v>7852.51</v>
      </c>
    </row>
    <row r="31" spans="1:13">
      <c r="A31" s="10" t="s">
        <v>43</v>
      </c>
      <c r="B31" s="11">
        <v>7202.85</v>
      </c>
      <c r="C31" s="11"/>
      <c r="D31" s="12"/>
      <c r="E31" s="11">
        <f t="shared" si="3"/>
        <v>7202.85</v>
      </c>
      <c r="F31" s="11"/>
      <c r="G31" s="11"/>
      <c r="H31" s="11"/>
      <c r="I31" s="11"/>
      <c r="J31" s="11">
        <v>703</v>
      </c>
      <c r="K31" s="11"/>
      <c r="L31" s="11">
        <f t="shared" si="4"/>
        <v>703</v>
      </c>
      <c r="M31" s="16">
        <f t="shared" si="5"/>
        <v>6499.85</v>
      </c>
    </row>
    <row r="32" spans="1:13">
      <c r="A32" s="10" t="s">
        <v>44</v>
      </c>
      <c r="B32" s="11">
        <v>13867</v>
      </c>
      <c r="C32" s="11"/>
      <c r="D32" s="12"/>
      <c r="E32" s="11">
        <f t="shared" si="3"/>
        <v>13867</v>
      </c>
      <c r="F32" s="34"/>
      <c r="G32" s="11">
        <v>297.58</v>
      </c>
      <c r="H32" s="11">
        <v>2000</v>
      </c>
      <c r="I32" s="11">
        <v>7</v>
      </c>
      <c r="J32" s="11">
        <v>1317.36</v>
      </c>
      <c r="K32" s="11"/>
      <c r="L32" s="11">
        <f t="shared" si="4"/>
        <v>3621.9399999999996</v>
      </c>
      <c r="M32" s="16">
        <f t="shared" si="5"/>
        <v>10245.060000000001</v>
      </c>
    </row>
    <row r="33" spans="1:13">
      <c r="A33" s="10" t="s">
        <v>45</v>
      </c>
      <c r="B33" s="11">
        <v>17780</v>
      </c>
      <c r="C33" s="11"/>
      <c r="D33" s="12"/>
      <c r="E33" s="11">
        <f t="shared" si="3"/>
        <v>17780</v>
      </c>
      <c r="F33" s="34"/>
      <c r="G33" s="11">
        <v>297.58</v>
      </c>
      <c r="H33" s="11"/>
      <c r="I33" s="11">
        <v>7</v>
      </c>
      <c r="J33" s="11">
        <v>1689.1</v>
      </c>
      <c r="K33" s="11"/>
      <c r="L33" s="11">
        <f t="shared" si="4"/>
        <v>1993.6799999999998</v>
      </c>
      <c r="M33" s="16">
        <f t="shared" si="5"/>
        <v>15786.32</v>
      </c>
    </row>
    <row r="34" spans="1:13">
      <c r="A34" s="10" t="s">
        <v>46</v>
      </c>
      <c r="B34" s="11">
        <v>13867</v>
      </c>
      <c r="C34" s="18"/>
      <c r="D34" s="12"/>
      <c r="E34" s="11">
        <f t="shared" si="3"/>
        <v>13867</v>
      </c>
      <c r="F34" s="34"/>
      <c r="G34" s="18"/>
      <c r="H34" s="11"/>
      <c r="I34" s="11">
        <v>7</v>
      </c>
      <c r="J34" s="11">
        <v>1317.36</v>
      </c>
      <c r="K34" s="11"/>
      <c r="L34" s="11">
        <f t="shared" si="4"/>
        <v>1324.36</v>
      </c>
      <c r="M34" s="16">
        <f t="shared" si="5"/>
        <v>12542.64</v>
      </c>
    </row>
    <row r="35" spans="1:13">
      <c r="A35" s="10" t="s">
        <v>47</v>
      </c>
      <c r="B35" s="11">
        <v>13867</v>
      </c>
      <c r="C35" s="14">
        <v>3196.6</v>
      </c>
      <c r="D35" s="29"/>
      <c r="E35" s="11">
        <f t="shared" si="3"/>
        <v>17063.599999999999</v>
      </c>
      <c r="F35" s="16"/>
      <c r="G35" s="18">
        <v>297.58</v>
      </c>
      <c r="H35" s="11"/>
      <c r="I35" s="11">
        <v>7</v>
      </c>
      <c r="J35" s="11">
        <v>1317.36</v>
      </c>
      <c r="K35" s="11"/>
      <c r="L35" s="11">
        <f t="shared" si="4"/>
        <v>1621.9399999999998</v>
      </c>
      <c r="M35" s="16">
        <f t="shared" si="5"/>
        <v>15441.659999999998</v>
      </c>
    </row>
    <row r="36" spans="1:13">
      <c r="M36" s="35"/>
    </row>
    <row r="37" spans="1:13">
      <c r="A37" s="10"/>
      <c r="B37" s="11">
        <f>SUM(B30:B33)</f>
        <v>47863.199999999997</v>
      </c>
      <c r="C37" s="11"/>
      <c r="D37" s="11">
        <f t="shared" ref="D37:I37" si="6">SUM(D30:D32)</f>
        <v>0</v>
      </c>
      <c r="E37" s="11">
        <f>SUM(E30:E33)</f>
        <v>47863.199999999997</v>
      </c>
      <c r="F37" s="11">
        <f>SUM(F30:F34)</f>
        <v>0</v>
      </c>
      <c r="G37" s="11">
        <f>SUM(G30:G34)</f>
        <v>892.74</v>
      </c>
      <c r="H37" s="11">
        <f t="shared" si="6"/>
        <v>2000</v>
      </c>
      <c r="I37" s="11">
        <f t="shared" si="6"/>
        <v>14</v>
      </c>
      <c r="J37" s="11">
        <f t="shared" ref="J37:M37" si="7">SUM(J30:J35)</f>
        <v>7200.4399999999987</v>
      </c>
      <c r="K37" s="11">
        <f t="shared" si="7"/>
        <v>0</v>
      </c>
      <c r="L37" s="11">
        <f t="shared" si="7"/>
        <v>10425.76</v>
      </c>
      <c r="M37" s="20">
        <f t="shared" si="7"/>
        <v>68368.040000000008</v>
      </c>
    </row>
    <row r="39" spans="1:13">
      <c r="B39" s="36"/>
    </row>
    <row r="40" spans="1:13">
      <c r="B40" s="37"/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ENERO - 2026</vt:lpstr>
      <vt:lpstr>MARZO - 2026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Ventura Barahona</dc:creator>
  <cp:lastModifiedBy>EDUARDO JOSE BARAHONA CANALES</cp:lastModifiedBy>
  <cp:lastPrinted>2026-01-30T17:35:00Z</cp:lastPrinted>
  <dcterms:created xsi:type="dcterms:W3CDTF">2000-05-24T21:16:00Z</dcterms:created>
  <dcterms:modified xsi:type="dcterms:W3CDTF">2026-04-25T22:28:14Z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A8634B890B6F4276B6E36B26D2635B81_13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